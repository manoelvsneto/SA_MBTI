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e\Desktop\"/>
    </mc:Choice>
  </mc:AlternateContent>
  <xr:revisionPtr revIDLastSave="0" documentId="13_ncr:1_{37C08AB4-42EF-4894-BA13-8F1C17AEBFE4}" xr6:coauthVersionLast="47" xr6:coauthVersionMax="47" xr10:uidLastSave="{00000000-0000-0000-0000-000000000000}"/>
  <bookViews>
    <workbookView xWindow="-120" yWindow="-120" windowWidth="38640" windowHeight="15720" xr2:uid="{53D3F8C1-4398-4B73-8757-F4A2CDFD6E1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3" i="1" l="1"/>
  <c r="L103" i="1"/>
  <c r="M103" i="1" s="1"/>
  <c r="O103" i="1" s="1"/>
  <c r="J103" i="1"/>
  <c r="H103" i="1"/>
  <c r="N102" i="1"/>
  <c r="L102" i="1"/>
  <c r="M102" i="1" s="1"/>
  <c r="J102" i="1"/>
  <c r="H102" i="1"/>
  <c r="N101" i="1"/>
  <c r="J101" i="1"/>
  <c r="H101" i="1"/>
  <c r="L101" i="1" s="1"/>
  <c r="M101" i="1" s="1"/>
  <c r="O101" i="1" s="1"/>
  <c r="N100" i="1"/>
  <c r="L100" i="1"/>
  <c r="M100" i="1" s="1"/>
  <c r="J100" i="1"/>
  <c r="H100" i="1"/>
  <c r="N99" i="1"/>
  <c r="J99" i="1"/>
  <c r="H99" i="1"/>
  <c r="L99" i="1" s="1"/>
  <c r="M99" i="1" s="1"/>
  <c r="O99" i="1" s="1"/>
  <c r="N98" i="1"/>
  <c r="J98" i="1"/>
  <c r="H98" i="1"/>
  <c r="L98" i="1" s="1"/>
  <c r="M98" i="1" s="1"/>
  <c r="O98" i="1" s="1"/>
  <c r="N97" i="1"/>
  <c r="J97" i="1"/>
  <c r="L97" i="1" s="1"/>
  <c r="M97" i="1" s="1"/>
  <c r="O97" i="1" s="1"/>
  <c r="H97" i="1"/>
  <c r="N96" i="1"/>
  <c r="L96" i="1"/>
  <c r="M96" i="1" s="1"/>
  <c r="O96" i="1" s="1"/>
  <c r="J96" i="1"/>
  <c r="H96" i="1"/>
  <c r="N95" i="1"/>
  <c r="L95" i="1"/>
  <c r="M95" i="1" s="1"/>
  <c r="O95" i="1" s="1"/>
  <c r="J95" i="1"/>
  <c r="H95" i="1"/>
  <c r="N94" i="1"/>
  <c r="L94" i="1"/>
  <c r="M94" i="1" s="1"/>
  <c r="J94" i="1"/>
  <c r="H94" i="1"/>
  <c r="N93" i="1"/>
  <c r="J93" i="1"/>
  <c r="H93" i="1"/>
  <c r="L93" i="1" s="1"/>
  <c r="M93" i="1" s="1"/>
  <c r="O93" i="1" s="1"/>
  <c r="N92" i="1"/>
  <c r="L92" i="1"/>
  <c r="M92" i="1" s="1"/>
  <c r="J92" i="1"/>
  <c r="H92" i="1"/>
  <c r="N91" i="1"/>
  <c r="J91" i="1"/>
  <c r="H91" i="1"/>
  <c r="L91" i="1" s="1"/>
  <c r="M91" i="1" s="1"/>
  <c r="O91" i="1" s="1"/>
  <c r="N90" i="1"/>
  <c r="J90" i="1"/>
  <c r="H90" i="1"/>
  <c r="L90" i="1" s="1"/>
  <c r="M90" i="1" s="1"/>
  <c r="O90" i="1" s="1"/>
  <c r="N89" i="1"/>
  <c r="M89" i="1"/>
  <c r="L89" i="1"/>
  <c r="J89" i="1"/>
  <c r="H89" i="1"/>
  <c r="N88" i="1"/>
  <c r="L88" i="1"/>
  <c r="M88" i="1" s="1"/>
  <c r="O88" i="1" s="1"/>
  <c r="J88" i="1"/>
  <c r="H88" i="1"/>
  <c r="N87" i="1"/>
  <c r="L87" i="1"/>
  <c r="M87" i="1" s="1"/>
  <c r="O87" i="1" s="1"/>
  <c r="J87" i="1"/>
  <c r="H87" i="1"/>
  <c r="N86" i="1"/>
  <c r="L86" i="1"/>
  <c r="M86" i="1" s="1"/>
  <c r="J86" i="1"/>
  <c r="H86" i="1"/>
  <c r="N85" i="1"/>
  <c r="J85" i="1"/>
  <c r="H85" i="1"/>
  <c r="L85" i="1" s="1"/>
  <c r="M85" i="1" s="1"/>
  <c r="O85" i="1" s="1"/>
  <c r="N84" i="1"/>
  <c r="L84" i="1"/>
  <c r="M84" i="1" s="1"/>
  <c r="J84" i="1"/>
  <c r="H84" i="1"/>
  <c r="N83" i="1"/>
  <c r="J83" i="1"/>
  <c r="H83" i="1"/>
  <c r="L83" i="1" s="1"/>
  <c r="M83" i="1" s="1"/>
  <c r="O83" i="1" s="1"/>
  <c r="N82" i="1"/>
  <c r="J82" i="1"/>
  <c r="H82" i="1"/>
  <c r="L82" i="1" s="1"/>
  <c r="M82" i="1" s="1"/>
  <c r="O82" i="1" s="1"/>
  <c r="N81" i="1"/>
  <c r="M81" i="1"/>
  <c r="L81" i="1"/>
  <c r="J81" i="1"/>
  <c r="H81" i="1"/>
  <c r="N80" i="1"/>
  <c r="L80" i="1"/>
  <c r="M80" i="1" s="1"/>
  <c r="O80" i="1" s="1"/>
  <c r="J80" i="1"/>
  <c r="H80" i="1"/>
  <c r="N79" i="1"/>
  <c r="L79" i="1"/>
  <c r="M79" i="1" s="1"/>
  <c r="O79" i="1" s="1"/>
  <c r="J79" i="1"/>
  <c r="H79" i="1"/>
  <c r="N78" i="1"/>
  <c r="L78" i="1"/>
  <c r="M78" i="1" s="1"/>
  <c r="J78" i="1"/>
  <c r="H78" i="1"/>
  <c r="N77" i="1"/>
  <c r="J77" i="1"/>
  <c r="H77" i="1"/>
  <c r="L77" i="1" s="1"/>
  <c r="M77" i="1" s="1"/>
  <c r="O77" i="1" s="1"/>
  <c r="N76" i="1"/>
  <c r="L76" i="1"/>
  <c r="M76" i="1" s="1"/>
  <c r="J76" i="1"/>
  <c r="H76" i="1"/>
  <c r="N75" i="1"/>
  <c r="J75" i="1"/>
  <c r="H75" i="1"/>
  <c r="L75" i="1" s="1"/>
  <c r="M75" i="1" s="1"/>
  <c r="O75" i="1" s="1"/>
  <c r="N74" i="1"/>
  <c r="J74" i="1"/>
  <c r="H74" i="1"/>
  <c r="L74" i="1" s="1"/>
  <c r="M74" i="1" s="1"/>
  <c r="O74" i="1" s="1"/>
  <c r="N73" i="1"/>
  <c r="M73" i="1"/>
  <c r="L73" i="1"/>
  <c r="J73" i="1"/>
  <c r="H73" i="1"/>
  <c r="N72" i="1"/>
  <c r="L72" i="1"/>
  <c r="M72" i="1" s="1"/>
  <c r="O72" i="1" s="1"/>
  <c r="J72" i="1"/>
  <c r="H72" i="1"/>
  <c r="N71" i="1"/>
  <c r="L71" i="1"/>
  <c r="M71" i="1" s="1"/>
  <c r="O71" i="1" s="1"/>
  <c r="J71" i="1"/>
  <c r="H71" i="1"/>
  <c r="N70" i="1"/>
  <c r="L70" i="1"/>
  <c r="M70" i="1" s="1"/>
  <c r="J70" i="1"/>
  <c r="H70" i="1"/>
  <c r="N69" i="1"/>
  <c r="J69" i="1"/>
  <c r="H69" i="1"/>
  <c r="L69" i="1" s="1"/>
  <c r="M69" i="1" s="1"/>
  <c r="O69" i="1" s="1"/>
  <c r="N68" i="1"/>
  <c r="L68" i="1"/>
  <c r="M68" i="1" s="1"/>
  <c r="J68" i="1"/>
  <c r="H68" i="1"/>
  <c r="N67" i="1"/>
  <c r="J67" i="1"/>
  <c r="H67" i="1"/>
  <c r="L67" i="1" s="1"/>
  <c r="M67" i="1" s="1"/>
  <c r="O67" i="1" s="1"/>
  <c r="N66" i="1"/>
  <c r="J66" i="1"/>
  <c r="H66" i="1"/>
  <c r="L66" i="1" s="1"/>
  <c r="M66" i="1" s="1"/>
  <c r="O66" i="1" s="1"/>
  <c r="N65" i="1"/>
  <c r="M65" i="1"/>
  <c r="L65" i="1"/>
  <c r="J65" i="1"/>
  <c r="H65" i="1"/>
  <c r="N64" i="1"/>
  <c r="L64" i="1"/>
  <c r="M64" i="1" s="1"/>
  <c r="O64" i="1" s="1"/>
  <c r="J64" i="1"/>
  <c r="H64" i="1"/>
  <c r="N63" i="1"/>
  <c r="L63" i="1"/>
  <c r="M63" i="1" s="1"/>
  <c r="O63" i="1" s="1"/>
  <c r="J63" i="1"/>
  <c r="H63" i="1"/>
  <c r="N62" i="1"/>
  <c r="L62" i="1"/>
  <c r="M62" i="1" s="1"/>
  <c r="J62" i="1"/>
  <c r="H62" i="1"/>
  <c r="N61" i="1"/>
  <c r="J61" i="1"/>
  <c r="H61" i="1"/>
  <c r="L61" i="1" s="1"/>
  <c r="M61" i="1" s="1"/>
  <c r="O61" i="1" s="1"/>
  <c r="N60" i="1"/>
  <c r="L60" i="1"/>
  <c r="M60" i="1" s="1"/>
  <c r="J60" i="1"/>
  <c r="H60" i="1"/>
  <c r="N59" i="1"/>
  <c r="J59" i="1"/>
  <c r="H59" i="1"/>
  <c r="L59" i="1" s="1"/>
  <c r="M59" i="1" s="1"/>
  <c r="O59" i="1" s="1"/>
  <c r="N58" i="1"/>
  <c r="J58" i="1"/>
  <c r="H58" i="1"/>
  <c r="L58" i="1" s="1"/>
  <c r="M58" i="1" s="1"/>
  <c r="O58" i="1" s="1"/>
  <c r="N57" i="1"/>
  <c r="M57" i="1"/>
  <c r="L57" i="1"/>
  <c r="J57" i="1"/>
  <c r="H57" i="1"/>
  <c r="N56" i="1"/>
  <c r="L56" i="1"/>
  <c r="M56" i="1" s="1"/>
  <c r="O56" i="1" s="1"/>
  <c r="J56" i="1"/>
  <c r="H56" i="1"/>
  <c r="N55" i="1"/>
  <c r="L55" i="1"/>
  <c r="M55" i="1" s="1"/>
  <c r="O55" i="1" s="1"/>
  <c r="J55" i="1"/>
  <c r="H55" i="1"/>
  <c r="N54" i="1"/>
  <c r="L54" i="1"/>
  <c r="M54" i="1" s="1"/>
  <c r="J54" i="1"/>
  <c r="H54" i="1"/>
  <c r="N53" i="1"/>
  <c r="J53" i="1"/>
  <c r="H53" i="1"/>
  <c r="L53" i="1" s="1"/>
  <c r="M53" i="1" s="1"/>
  <c r="O53" i="1" s="1"/>
  <c r="N52" i="1"/>
  <c r="L52" i="1"/>
  <c r="M52" i="1" s="1"/>
  <c r="J52" i="1"/>
  <c r="H52" i="1"/>
  <c r="N51" i="1"/>
  <c r="J51" i="1"/>
  <c r="H51" i="1"/>
  <c r="L51" i="1" s="1"/>
  <c r="M51" i="1" s="1"/>
  <c r="O51" i="1" s="1"/>
  <c r="N50" i="1"/>
  <c r="J50" i="1"/>
  <c r="H50" i="1"/>
  <c r="L50" i="1" s="1"/>
  <c r="M50" i="1" s="1"/>
  <c r="O50" i="1" s="1"/>
  <c r="N49" i="1"/>
  <c r="M49" i="1"/>
  <c r="L49" i="1"/>
  <c r="J49" i="1"/>
  <c r="H49" i="1"/>
  <c r="N48" i="1"/>
  <c r="L48" i="1"/>
  <c r="M48" i="1" s="1"/>
  <c r="O48" i="1" s="1"/>
  <c r="J48" i="1"/>
  <c r="H48" i="1"/>
  <c r="N47" i="1"/>
  <c r="L47" i="1"/>
  <c r="M47" i="1" s="1"/>
  <c r="O47" i="1" s="1"/>
  <c r="J47" i="1"/>
  <c r="H47" i="1"/>
  <c r="N46" i="1"/>
  <c r="L46" i="1"/>
  <c r="M46" i="1" s="1"/>
  <c r="J46" i="1"/>
  <c r="H46" i="1"/>
  <c r="N45" i="1"/>
  <c r="J45" i="1"/>
  <c r="H45" i="1"/>
  <c r="L45" i="1" s="1"/>
  <c r="M45" i="1" s="1"/>
  <c r="O45" i="1" s="1"/>
  <c r="N44" i="1"/>
  <c r="L44" i="1"/>
  <c r="M44" i="1" s="1"/>
  <c r="J44" i="1"/>
  <c r="H44" i="1"/>
  <c r="N43" i="1"/>
  <c r="J43" i="1"/>
  <c r="H43" i="1"/>
  <c r="L43" i="1" s="1"/>
  <c r="M43" i="1" s="1"/>
  <c r="O43" i="1" s="1"/>
  <c r="N42" i="1"/>
  <c r="J42" i="1"/>
  <c r="H42" i="1"/>
  <c r="L42" i="1" s="1"/>
  <c r="M42" i="1" s="1"/>
  <c r="O42" i="1" s="1"/>
  <c r="N41" i="1"/>
  <c r="M41" i="1"/>
  <c r="L41" i="1"/>
  <c r="J41" i="1"/>
  <c r="H41" i="1"/>
  <c r="N40" i="1"/>
  <c r="L40" i="1"/>
  <c r="M40" i="1" s="1"/>
  <c r="O40" i="1" s="1"/>
  <c r="J40" i="1"/>
  <c r="H40" i="1"/>
  <c r="N39" i="1"/>
  <c r="L39" i="1"/>
  <c r="M39" i="1" s="1"/>
  <c r="O39" i="1" s="1"/>
  <c r="J39" i="1"/>
  <c r="H39" i="1"/>
  <c r="N38" i="1"/>
  <c r="L38" i="1"/>
  <c r="M38" i="1" s="1"/>
  <c r="J38" i="1"/>
  <c r="H38" i="1"/>
  <c r="N37" i="1"/>
  <c r="J37" i="1"/>
  <c r="H37" i="1"/>
  <c r="L37" i="1" s="1"/>
  <c r="M37" i="1" s="1"/>
  <c r="O37" i="1" s="1"/>
  <c r="N36" i="1"/>
  <c r="L36" i="1"/>
  <c r="M36" i="1" s="1"/>
  <c r="J36" i="1"/>
  <c r="H36" i="1"/>
  <c r="N35" i="1"/>
  <c r="J35" i="1"/>
  <c r="H35" i="1"/>
  <c r="L35" i="1" s="1"/>
  <c r="M35" i="1" s="1"/>
  <c r="O35" i="1" s="1"/>
  <c r="N34" i="1"/>
  <c r="J34" i="1"/>
  <c r="H34" i="1"/>
  <c r="L34" i="1" s="1"/>
  <c r="M34" i="1" s="1"/>
  <c r="O34" i="1" s="1"/>
  <c r="N33" i="1"/>
  <c r="M33" i="1"/>
  <c r="L33" i="1"/>
  <c r="J33" i="1"/>
  <c r="H33" i="1"/>
  <c r="N32" i="1"/>
  <c r="L32" i="1"/>
  <c r="M32" i="1" s="1"/>
  <c r="O32" i="1" s="1"/>
  <c r="J32" i="1"/>
  <c r="H32" i="1"/>
  <c r="N31" i="1"/>
  <c r="L31" i="1"/>
  <c r="M31" i="1" s="1"/>
  <c r="O31" i="1" s="1"/>
  <c r="J31" i="1"/>
  <c r="H31" i="1"/>
  <c r="N30" i="1"/>
  <c r="L30" i="1"/>
  <c r="M30" i="1" s="1"/>
  <c r="J30" i="1"/>
  <c r="H30" i="1"/>
  <c r="N29" i="1"/>
  <c r="J29" i="1"/>
  <c r="H29" i="1"/>
  <c r="L29" i="1" s="1"/>
  <c r="M29" i="1" s="1"/>
  <c r="O29" i="1" s="1"/>
  <c r="N28" i="1"/>
  <c r="L28" i="1"/>
  <c r="M28" i="1" s="1"/>
  <c r="J28" i="1"/>
  <c r="H28" i="1"/>
  <c r="N27" i="1"/>
  <c r="J27" i="1"/>
  <c r="H27" i="1"/>
  <c r="L27" i="1" s="1"/>
  <c r="M27" i="1" s="1"/>
  <c r="O27" i="1" s="1"/>
  <c r="N26" i="1"/>
  <c r="J26" i="1"/>
  <c r="H26" i="1"/>
  <c r="L26" i="1" s="1"/>
  <c r="M26" i="1" s="1"/>
  <c r="O26" i="1" s="1"/>
  <c r="N25" i="1"/>
  <c r="M25" i="1"/>
  <c r="L25" i="1"/>
  <c r="J25" i="1"/>
  <c r="H25" i="1"/>
  <c r="N24" i="1"/>
  <c r="L24" i="1"/>
  <c r="M24" i="1" s="1"/>
  <c r="O24" i="1" s="1"/>
  <c r="J24" i="1"/>
  <c r="H24" i="1"/>
  <c r="N23" i="1"/>
  <c r="L23" i="1"/>
  <c r="M23" i="1" s="1"/>
  <c r="O23" i="1" s="1"/>
  <c r="J23" i="1"/>
  <c r="H23" i="1"/>
  <c r="N22" i="1"/>
  <c r="L22" i="1"/>
  <c r="M22" i="1" s="1"/>
  <c r="J22" i="1"/>
  <c r="H22" i="1"/>
  <c r="N21" i="1"/>
  <c r="J21" i="1"/>
  <c r="H21" i="1"/>
  <c r="L21" i="1" s="1"/>
  <c r="M21" i="1" s="1"/>
  <c r="O21" i="1" s="1"/>
  <c r="N20" i="1"/>
  <c r="L20" i="1"/>
  <c r="M20" i="1" s="1"/>
  <c r="J20" i="1"/>
  <c r="H20" i="1"/>
  <c r="N19" i="1"/>
  <c r="J19" i="1"/>
  <c r="H19" i="1"/>
  <c r="L19" i="1" s="1"/>
  <c r="M19" i="1" s="1"/>
  <c r="O19" i="1" s="1"/>
  <c r="N18" i="1"/>
  <c r="J18" i="1"/>
  <c r="H18" i="1"/>
  <c r="L18" i="1" s="1"/>
  <c r="M18" i="1" s="1"/>
  <c r="O18" i="1" s="1"/>
  <c r="N17" i="1"/>
  <c r="M17" i="1"/>
  <c r="L17" i="1"/>
  <c r="J17" i="1"/>
  <c r="H17" i="1"/>
  <c r="N16" i="1"/>
  <c r="L16" i="1"/>
  <c r="M16" i="1" s="1"/>
  <c r="O16" i="1" s="1"/>
  <c r="J16" i="1"/>
  <c r="H16" i="1"/>
  <c r="N15" i="1"/>
  <c r="L15" i="1"/>
  <c r="M15" i="1" s="1"/>
  <c r="O15" i="1" s="1"/>
  <c r="J15" i="1"/>
  <c r="H15" i="1"/>
  <c r="N14" i="1"/>
  <c r="L14" i="1"/>
  <c r="M14" i="1" s="1"/>
  <c r="J14" i="1"/>
  <c r="H14" i="1"/>
  <c r="N13" i="1"/>
  <c r="J13" i="1"/>
  <c r="H13" i="1"/>
  <c r="L13" i="1" s="1"/>
  <c r="M13" i="1" s="1"/>
  <c r="O13" i="1" s="1"/>
  <c r="N12" i="1"/>
  <c r="L12" i="1"/>
  <c r="M12" i="1" s="1"/>
  <c r="J12" i="1"/>
  <c r="H12" i="1"/>
  <c r="N11" i="1"/>
  <c r="J11" i="1"/>
  <c r="H11" i="1"/>
  <c r="L11" i="1" s="1"/>
  <c r="M11" i="1" s="1"/>
  <c r="O11" i="1" s="1"/>
  <c r="N10" i="1"/>
  <c r="J10" i="1"/>
  <c r="H10" i="1"/>
  <c r="L10" i="1" s="1"/>
  <c r="M10" i="1" s="1"/>
  <c r="O10" i="1" s="1"/>
  <c r="N9" i="1"/>
  <c r="M9" i="1"/>
  <c r="L9" i="1"/>
  <c r="J9" i="1"/>
  <c r="H9" i="1"/>
  <c r="N8" i="1"/>
  <c r="L8" i="1"/>
  <c r="M8" i="1" s="1"/>
  <c r="O8" i="1" s="1"/>
  <c r="J8" i="1"/>
  <c r="H8" i="1"/>
  <c r="N7" i="1"/>
  <c r="L7" i="1"/>
  <c r="M7" i="1" s="1"/>
  <c r="O7" i="1" s="1"/>
  <c r="J7" i="1"/>
  <c r="H7" i="1"/>
  <c r="N6" i="1"/>
  <c r="L6" i="1"/>
  <c r="M6" i="1" s="1"/>
  <c r="J6" i="1"/>
  <c r="H6" i="1"/>
  <c r="N5" i="1"/>
  <c r="J5" i="1"/>
  <c r="H5" i="1"/>
  <c r="L5" i="1" s="1"/>
  <c r="M5" i="1" s="1"/>
  <c r="O5" i="1" s="1"/>
  <c r="N4" i="1"/>
  <c r="L4" i="1"/>
  <c r="M4" i="1" s="1"/>
  <c r="J4" i="1"/>
  <c r="H4" i="1"/>
  <c r="N3" i="1"/>
  <c r="J3" i="1"/>
  <c r="H3" i="1"/>
  <c r="L3" i="1" s="1"/>
  <c r="M3" i="1" s="1"/>
  <c r="O3" i="1" s="1"/>
  <c r="N2" i="1"/>
  <c r="J2" i="1"/>
  <c r="H2" i="1"/>
  <c r="L2" i="1" s="1"/>
  <c r="M2" i="1" s="1"/>
  <c r="O2" i="1" s="1"/>
  <c r="O6" i="1" l="1"/>
  <c r="O14" i="1"/>
  <c r="O22" i="1"/>
  <c r="O30" i="1"/>
  <c r="O38" i="1"/>
  <c r="O46" i="1"/>
  <c r="O54" i="1"/>
  <c r="O62" i="1"/>
  <c r="O70" i="1"/>
  <c r="O78" i="1"/>
  <c r="O86" i="1"/>
  <c r="O94" i="1"/>
  <c r="O102" i="1"/>
  <c r="O9" i="1"/>
  <c r="O17" i="1"/>
  <c r="O25" i="1"/>
  <c r="O33" i="1"/>
  <c r="O41" i="1"/>
  <c r="O49" i="1"/>
  <c r="O57" i="1"/>
  <c r="O65" i="1"/>
  <c r="O73" i="1"/>
  <c r="O81" i="1"/>
  <c r="O89" i="1"/>
  <c r="O4" i="1"/>
  <c r="O12" i="1"/>
  <c r="O20" i="1"/>
  <c r="O28" i="1"/>
  <c r="O36" i="1"/>
  <c r="O44" i="1"/>
  <c r="O52" i="1"/>
  <c r="O60" i="1"/>
  <c r="O68" i="1"/>
  <c r="O76" i="1"/>
  <c r="O84" i="1"/>
  <c r="O92" i="1"/>
  <c r="O100" i="1"/>
</calcChain>
</file>

<file path=xl/sharedStrings.xml><?xml version="1.0" encoding="utf-8"?>
<sst xmlns="http://schemas.openxmlformats.org/spreadsheetml/2006/main" count="629" uniqueCount="83">
  <si>
    <t>Turma</t>
  </si>
  <si>
    <t>MBTI</t>
  </si>
  <si>
    <t>ANO</t>
  </si>
  <si>
    <t>GENDER</t>
  </si>
  <si>
    <t>TDE1 (Requistos Arquiettura)</t>
  </si>
  <si>
    <t>TDE2 (Requistos Arquiettura)</t>
  </si>
  <si>
    <t>TDE3 (Desenvolvimento Sistema)</t>
  </si>
  <si>
    <t>Desenvolvimento Sistema</t>
  </si>
  <si>
    <t>PROVA OBJETIVA E AUTORIA</t>
  </si>
  <si>
    <t>MEDIA TDE</t>
  </si>
  <si>
    <t>TDE 40%</t>
  </si>
  <si>
    <t>PROVA 60%</t>
  </si>
  <si>
    <t>NOTA FINAL GERAL ( TDE 40% + PROVA 60%)</t>
  </si>
  <si>
    <t>Grupo</t>
  </si>
  <si>
    <t>Perfil</t>
  </si>
  <si>
    <t>A</t>
  </si>
  <si>
    <t>ENTP-T</t>
  </si>
  <si>
    <t>M</t>
  </si>
  <si>
    <t>Analistas</t>
  </si>
  <si>
    <t>Inovador</t>
  </si>
  <si>
    <t>B</t>
  </si>
  <si>
    <t>ISTJ-T</t>
  </si>
  <si>
    <t>F</t>
  </si>
  <si>
    <t>Sentinelas</t>
  </si>
  <si>
    <t>Pratico</t>
  </si>
  <si>
    <t>ENFP-A</t>
  </si>
  <si>
    <t>Diplomatas</t>
  </si>
  <si>
    <t>Ativista</t>
  </si>
  <si>
    <t>ENFJ-A</t>
  </si>
  <si>
    <t>Protagonista</t>
  </si>
  <si>
    <t>INTP-A</t>
  </si>
  <si>
    <t>Logico</t>
  </si>
  <si>
    <t>INFJ-A</t>
  </si>
  <si>
    <t>Apoiador</t>
  </si>
  <si>
    <t>INFP-T</t>
  </si>
  <si>
    <t>Mediador</t>
  </si>
  <si>
    <t>ESTP-T</t>
  </si>
  <si>
    <t>Exploradores</t>
  </si>
  <si>
    <t>Empreendedor</t>
  </si>
  <si>
    <t>ISTP-T</t>
  </si>
  <si>
    <t>Virtuoso</t>
  </si>
  <si>
    <t>ESTJ-T</t>
  </si>
  <si>
    <t>Executivo</t>
  </si>
  <si>
    <t>INTJ-A</t>
  </si>
  <si>
    <t>Arquiteto</t>
  </si>
  <si>
    <t>ENTP-A</t>
  </si>
  <si>
    <t>ENTJ-A</t>
  </si>
  <si>
    <t>Comandante</t>
  </si>
  <si>
    <t>ENTJ-T</t>
  </si>
  <si>
    <t>ISFJ-A</t>
  </si>
  <si>
    <t>Defensor</t>
  </si>
  <si>
    <t>ENFJ-T</t>
  </si>
  <si>
    <t>ESTP-A</t>
  </si>
  <si>
    <t>ESTJ-A</t>
  </si>
  <si>
    <t>ESFJ-A</t>
  </si>
  <si>
    <t>Consul</t>
  </si>
  <si>
    <t>INTP-T</t>
  </si>
  <si>
    <t>INTJ-T</t>
  </si>
  <si>
    <t>INFJ-T</t>
  </si>
  <si>
    <t>ISTJ-A</t>
  </si>
  <si>
    <t>ISFP-T</t>
  </si>
  <si>
    <t>Aventureiro</t>
  </si>
  <si>
    <t>INFP-A</t>
  </si>
  <si>
    <t>ENFP-T</t>
  </si>
  <si>
    <t>ISFP-A</t>
  </si>
  <si>
    <t>ISTP-A</t>
  </si>
  <si>
    <t>Média Requisitos de Arquitetura</t>
  </si>
  <si>
    <t>MBTICOMPLETO</t>
  </si>
  <si>
    <t>ENTP</t>
  </si>
  <si>
    <t>ISTJ</t>
  </si>
  <si>
    <t>INFP</t>
  </si>
  <si>
    <t>ESTP</t>
  </si>
  <si>
    <t>ISTP</t>
  </si>
  <si>
    <t>ESTJ</t>
  </si>
  <si>
    <t>ENTJ</t>
  </si>
  <si>
    <t>ENFJ</t>
  </si>
  <si>
    <t>INTP</t>
  </si>
  <si>
    <t>INTJ</t>
  </si>
  <si>
    <t>INFJ</t>
  </si>
  <si>
    <t>ISFP</t>
  </si>
  <si>
    <t>ENFP</t>
  </si>
  <si>
    <t>ISFJ</t>
  </si>
  <si>
    <t>ESFJ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</si>
</sst>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D67EA-7C1F-45AA-B30B-0897AA08D642}">
  <dimension ref="A1:Q103"/>
  <sheetViews>
    <sheetView tabSelected="1" workbookViewId="0">
      <selection activeCell="G11" sqref="G11"/>
    </sheetView>
  </sheetViews>
  <sheetFormatPr defaultRowHeight="15" x14ac:dyDescent="0.25"/>
  <cols>
    <col min="1" max="1" width="6.5703125" bestFit="1" customWidth="1"/>
    <col min="2" max="3" width="7.5703125" bestFit="1" customWidth="1"/>
    <col min="4" max="4" width="5.140625" bestFit="1" customWidth="1"/>
    <col min="5" max="5" width="8.140625" bestFit="1" customWidth="1"/>
    <col min="6" max="7" width="27.140625" style="4" bestFit="1" customWidth="1"/>
    <col min="8" max="8" width="30.42578125" style="4" bestFit="1" customWidth="1"/>
    <col min="9" max="9" width="31" style="4" bestFit="1" customWidth="1"/>
    <col min="10" max="10" width="38.85546875" style="4" customWidth="1"/>
    <col min="11" max="11" width="26.5703125" style="4" bestFit="1" customWidth="1"/>
    <col min="12" max="12" width="9.42578125" style="2" bestFit="1" customWidth="1"/>
    <col min="13" max="13" width="7.5703125" style="2" bestFit="1" customWidth="1"/>
    <col min="14" max="14" width="10" style="2" bestFit="1" customWidth="1"/>
    <col min="15" max="15" width="35.28515625" style="2" bestFit="1" customWidth="1"/>
    <col min="16" max="16" width="12.5703125" bestFit="1" customWidth="1"/>
    <col min="17" max="17" width="14.42578125" bestFit="1" customWidth="1"/>
  </cols>
  <sheetData>
    <row r="1" spans="1:17" x14ac:dyDescent="0.25">
      <c r="A1" t="s">
        <v>0</v>
      </c>
      <c r="B1" s="1" t="s">
        <v>1</v>
      </c>
      <c r="C1" s="1" t="s">
        <v>67</v>
      </c>
      <c r="D1" t="s">
        <v>2</v>
      </c>
      <c r="E1" t="s">
        <v>3</v>
      </c>
      <c r="F1" s="2" t="s">
        <v>4</v>
      </c>
      <c r="G1" s="2" t="s">
        <v>5</v>
      </c>
      <c r="H1" s="2" t="s">
        <v>66</v>
      </c>
      <c r="I1" s="2" t="s">
        <v>6</v>
      </c>
      <c r="J1" s="2" t="s">
        <v>7</v>
      </c>
      <c r="K1" s="2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t="s">
        <v>13</v>
      </c>
      <c r="Q1" t="s">
        <v>14</v>
      </c>
    </row>
    <row r="2" spans="1:17" x14ac:dyDescent="0.25">
      <c r="A2" t="s">
        <v>15</v>
      </c>
      <c r="B2" t="s">
        <v>68</v>
      </c>
      <c r="C2" t="s">
        <v>16</v>
      </c>
      <c r="D2">
        <v>2025</v>
      </c>
      <c r="E2" t="s">
        <v>17</v>
      </c>
      <c r="F2" s="2">
        <v>7.3</v>
      </c>
      <c r="G2" s="2">
        <v>8.23</v>
      </c>
      <c r="H2" s="2">
        <f>(F2+G2)/2</f>
        <v>7.7650000000000006</v>
      </c>
      <c r="I2" s="2">
        <v>10</v>
      </c>
      <c r="J2" s="2">
        <f>I2</f>
        <v>10</v>
      </c>
      <c r="K2" s="2">
        <v>10</v>
      </c>
      <c r="L2" s="2">
        <f>(H2+J2)/2</f>
        <v>8.8825000000000003</v>
      </c>
      <c r="M2" s="2">
        <f>L2/100*40</f>
        <v>3.5529999999999999</v>
      </c>
      <c r="N2" s="2">
        <f>K2/100*60</f>
        <v>6</v>
      </c>
      <c r="O2" s="2">
        <f>M2+N2</f>
        <v>9.5530000000000008</v>
      </c>
      <c r="P2" t="s">
        <v>18</v>
      </c>
      <c r="Q2" t="s">
        <v>19</v>
      </c>
    </row>
    <row r="3" spans="1:17" x14ac:dyDescent="0.25">
      <c r="A3" t="s">
        <v>20</v>
      </c>
      <c r="B3" t="s">
        <v>69</v>
      </c>
      <c r="C3" t="s">
        <v>21</v>
      </c>
      <c r="D3">
        <v>2025</v>
      </c>
      <c r="E3" t="s">
        <v>22</v>
      </c>
      <c r="F3" s="2">
        <v>10</v>
      </c>
      <c r="G3" s="2">
        <v>10</v>
      </c>
      <c r="H3" s="2">
        <f t="shared" ref="H3:H66" si="0">(F3+G3)/2</f>
        <v>10</v>
      </c>
      <c r="I3" s="2">
        <v>9.5</v>
      </c>
      <c r="J3" s="2">
        <f t="shared" ref="J3:J66" si="1">I3</f>
        <v>9.5</v>
      </c>
      <c r="K3" s="2">
        <v>10</v>
      </c>
      <c r="L3" s="2">
        <f t="shared" ref="L3:L66" si="2">(H3+J3)/2</f>
        <v>9.75</v>
      </c>
      <c r="M3" s="2">
        <f t="shared" ref="M3:M66" si="3">L3/100*40</f>
        <v>3.9000000000000004</v>
      </c>
      <c r="N3" s="2">
        <f t="shared" ref="N3:N66" si="4">K3/100*60</f>
        <v>6</v>
      </c>
      <c r="O3" s="2">
        <f t="shared" ref="O3:O66" si="5">M3+N3</f>
        <v>9.9</v>
      </c>
      <c r="P3" t="s">
        <v>23</v>
      </c>
      <c r="Q3" t="s">
        <v>24</v>
      </c>
    </row>
    <row r="4" spans="1:17" x14ac:dyDescent="0.25">
      <c r="A4" t="s">
        <v>15</v>
      </c>
      <c r="B4" s="1" t="s">
        <v>80</v>
      </c>
      <c r="C4" s="1" t="s">
        <v>25</v>
      </c>
      <c r="D4">
        <v>2024</v>
      </c>
      <c r="E4" t="s">
        <v>17</v>
      </c>
      <c r="F4" s="2">
        <v>10</v>
      </c>
      <c r="G4" s="2">
        <v>10</v>
      </c>
      <c r="H4" s="2">
        <f t="shared" si="0"/>
        <v>10</v>
      </c>
      <c r="I4" s="2">
        <v>10</v>
      </c>
      <c r="J4" s="2">
        <f t="shared" si="1"/>
        <v>10</v>
      </c>
      <c r="K4" s="2">
        <v>6.51</v>
      </c>
      <c r="L4" s="2">
        <f t="shared" si="2"/>
        <v>10</v>
      </c>
      <c r="M4" s="2">
        <f t="shared" si="3"/>
        <v>4</v>
      </c>
      <c r="N4" s="2">
        <f t="shared" si="4"/>
        <v>3.9059999999999997</v>
      </c>
      <c r="O4" s="2">
        <f t="shared" si="5"/>
        <v>7.9059999999999997</v>
      </c>
      <c r="P4" t="s">
        <v>26</v>
      </c>
      <c r="Q4" t="s">
        <v>27</v>
      </c>
    </row>
    <row r="5" spans="1:17" x14ac:dyDescent="0.25">
      <c r="A5" t="s">
        <v>20</v>
      </c>
      <c r="B5" t="s">
        <v>75</v>
      </c>
      <c r="C5" t="s">
        <v>28</v>
      </c>
      <c r="D5">
        <v>2025</v>
      </c>
      <c r="E5" t="s">
        <v>17</v>
      </c>
      <c r="F5" s="2">
        <v>8.1999999999999993</v>
      </c>
      <c r="G5" s="2">
        <v>10</v>
      </c>
      <c r="H5" s="2">
        <f t="shared" si="0"/>
        <v>9.1</v>
      </c>
      <c r="I5" s="2">
        <v>6</v>
      </c>
      <c r="J5" s="2">
        <f t="shared" si="1"/>
        <v>6</v>
      </c>
      <c r="K5" s="2">
        <v>10</v>
      </c>
      <c r="L5" s="2">
        <f t="shared" si="2"/>
        <v>7.55</v>
      </c>
      <c r="M5" s="2">
        <f t="shared" si="3"/>
        <v>3.02</v>
      </c>
      <c r="N5" s="2">
        <f t="shared" si="4"/>
        <v>6</v>
      </c>
      <c r="O5" s="2">
        <f t="shared" si="5"/>
        <v>9.02</v>
      </c>
      <c r="P5" t="s">
        <v>26</v>
      </c>
      <c r="Q5" t="s">
        <v>29</v>
      </c>
    </row>
    <row r="6" spans="1:17" x14ac:dyDescent="0.25">
      <c r="A6" t="s">
        <v>20</v>
      </c>
      <c r="B6" s="1" t="s">
        <v>76</v>
      </c>
      <c r="C6" s="1" t="s">
        <v>30</v>
      </c>
      <c r="D6">
        <v>2025</v>
      </c>
      <c r="E6" t="s">
        <v>17</v>
      </c>
      <c r="F6" s="2">
        <v>8.8000000000000007</v>
      </c>
      <c r="G6" s="2">
        <v>10</v>
      </c>
      <c r="H6" s="2">
        <f t="shared" si="0"/>
        <v>9.4</v>
      </c>
      <c r="I6" s="2">
        <v>3</v>
      </c>
      <c r="J6" s="2">
        <f t="shared" si="1"/>
        <v>3</v>
      </c>
      <c r="K6" s="2">
        <v>8.8000000000000007</v>
      </c>
      <c r="L6" s="2">
        <f t="shared" si="2"/>
        <v>6.2</v>
      </c>
      <c r="M6" s="2">
        <f t="shared" si="3"/>
        <v>2.48</v>
      </c>
      <c r="N6" s="2">
        <f t="shared" si="4"/>
        <v>5.28</v>
      </c>
      <c r="O6" s="2">
        <f t="shared" si="5"/>
        <v>7.76</v>
      </c>
      <c r="P6" t="s">
        <v>18</v>
      </c>
      <c r="Q6" t="s">
        <v>31</v>
      </c>
    </row>
    <row r="7" spans="1:17" x14ac:dyDescent="0.25">
      <c r="A7" t="s">
        <v>15</v>
      </c>
      <c r="B7" t="s">
        <v>69</v>
      </c>
      <c r="C7" t="s">
        <v>21</v>
      </c>
      <c r="D7">
        <v>2025</v>
      </c>
      <c r="E7" t="s">
        <v>17</v>
      </c>
      <c r="F7" s="2">
        <v>10</v>
      </c>
      <c r="G7" s="2">
        <v>9.8000000000000007</v>
      </c>
      <c r="H7" s="2">
        <f t="shared" si="0"/>
        <v>9.9</v>
      </c>
      <c r="I7" s="2">
        <v>7</v>
      </c>
      <c r="J7" s="2">
        <f t="shared" si="1"/>
        <v>7</v>
      </c>
      <c r="K7" s="2">
        <v>10</v>
      </c>
      <c r="L7" s="2">
        <f t="shared" si="2"/>
        <v>8.4499999999999993</v>
      </c>
      <c r="M7" s="2">
        <f t="shared" si="3"/>
        <v>3.38</v>
      </c>
      <c r="N7" s="2">
        <f t="shared" si="4"/>
        <v>6</v>
      </c>
      <c r="O7" s="2">
        <f t="shared" si="5"/>
        <v>9.379999999999999</v>
      </c>
      <c r="P7" t="s">
        <v>23</v>
      </c>
      <c r="Q7" t="s">
        <v>24</v>
      </c>
    </row>
    <row r="8" spans="1:17" x14ac:dyDescent="0.25">
      <c r="A8" t="s">
        <v>20</v>
      </c>
      <c r="B8" s="1" t="s">
        <v>78</v>
      </c>
      <c r="C8" s="1" t="s">
        <v>32</v>
      </c>
      <c r="D8">
        <v>2025</v>
      </c>
      <c r="E8" t="s">
        <v>22</v>
      </c>
      <c r="F8" s="2">
        <v>8.1999999999999993</v>
      </c>
      <c r="G8" s="2">
        <v>10</v>
      </c>
      <c r="H8" s="2">
        <f t="shared" si="0"/>
        <v>9.1</v>
      </c>
      <c r="I8" s="2">
        <v>6</v>
      </c>
      <c r="J8" s="2">
        <f t="shared" si="1"/>
        <v>6</v>
      </c>
      <c r="K8" s="2">
        <v>9.4</v>
      </c>
      <c r="L8" s="2">
        <f t="shared" si="2"/>
        <v>7.55</v>
      </c>
      <c r="M8" s="2">
        <f t="shared" si="3"/>
        <v>3.02</v>
      </c>
      <c r="N8" s="2">
        <f t="shared" si="4"/>
        <v>5.64</v>
      </c>
      <c r="O8" s="2">
        <f t="shared" si="5"/>
        <v>8.66</v>
      </c>
      <c r="P8" t="s">
        <v>26</v>
      </c>
      <c r="Q8" t="s">
        <v>33</v>
      </c>
    </row>
    <row r="9" spans="1:17" x14ac:dyDescent="0.25">
      <c r="A9" t="s">
        <v>15</v>
      </c>
      <c r="B9" t="s">
        <v>70</v>
      </c>
      <c r="C9" t="s">
        <v>34</v>
      </c>
      <c r="D9">
        <v>2024</v>
      </c>
      <c r="E9" t="s">
        <v>22</v>
      </c>
      <c r="F9" s="2">
        <v>10</v>
      </c>
      <c r="G9" s="2">
        <v>10</v>
      </c>
      <c r="H9" s="2">
        <f t="shared" si="0"/>
        <v>10</v>
      </c>
      <c r="I9" s="2">
        <v>9</v>
      </c>
      <c r="J9" s="2">
        <f t="shared" si="1"/>
        <v>9</v>
      </c>
      <c r="K9" s="2">
        <v>9.0500000000000007</v>
      </c>
      <c r="L9" s="2">
        <f t="shared" si="2"/>
        <v>9.5</v>
      </c>
      <c r="M9" s="2">
        <f t="shared" si="3"/>
        <v>3.8</v>
      </c>
      <c r="N9" s="2">
        <f t="shared" si="4"/>
        <v>5.4300000000000006</v>
      </c>
      <c r="O9" s="2">
        <f t="shared" si="5"/>
        <v>9.23</v>
      </c>
      <c r="P9" t="s">
        <v>26</v>
      </c>
      <c r="Q9" t="s">
        <v>35</v>
      </c>
    </row>
    <row r="10" spans="1:17" x14ac:dyDescent="0.25">
      <c r="A10" t="s">
        <v>15</v>
      </c>
      <c r="B10" t="s">
        <v>70</v>
      </c>
      <c r="C10" t="s">
        <v>34</v>
      </c>
      <c r="D10">
        <v>2024</v>
      </c>
      <c r="E10" t="s">
        <v>22</v>
      </c>
      <c r="F10" s="2">
        <v>10</v>
      </c>
      <c r="G10" s="2">
        <v>10</v>
      </c>
      <c r="H10" s="2">
        <f t="shared" si="0"/>
        <v>10</v>
      </c>
      <c r="I10" s="2">
        <v>9</v>
      </c>
      <c r="J10" s="2">
        <f t="shared" si="1"/>
        <v>9</v>
      </c>
      <c r="K10" s="2">
        <v>9.0500000000000007</v>
      </c>
      <c r="L10" s="2">
        <f t="shared" si="2"/>
        <v>9.5</v>
      </c>
      <c r="M10" s="2">
        <f t="shared" si="3"/>
        <v>3.8</v>
      </c>
      <c r="N10" s="2">
        <f t="shared" si="4"/>
        <v>5.4300000000000006</v>
      </c>
      <c r="O10" s="2">
        <f t="shared" si="5"/>
        <v>9.23</v>
      </c>
      <c r="P10" t="s">
        <v>26</v>
      </c>
      <c r="Q10" t="s">
        <v>35</v>
      </c>
    </row>
    <row r="11" spans="1:17" x14ac:dyDescent="0.25">
      <c r="A11" t="s">
        <v>20</v>
      </c>
      <c r="B11" t="s">
        <v>71</v>
      </c>
      <c r="C11" t="s">
        <v>36</v>
      </c>
      <c r="D11">
        <v>2024</v>
      </c>
      <c r="E11" t="s">
        <v>17</v>
      </c>
      <c r="F11" s="2">
        <v>10</v>
      </c>
      <c r="G11" s="2">
        <v>10</v>
      </c>
      <c r="H11" s="2">
        <f t="shared" si="0"/>
        <v>10</v>
      </c>
      <c r="I11" s="2">
        <v>9.5</v>
      </c>
      <c r="J11" s="2">
        <f t="shared" si="1"/>
        <v>9.5</v>
      </c>
      <c r="K11" s="2">
        <v>9</v>
      </c>
      <c r="L11" s="2">
        <f t="shared" si="2"/>
        <v>9.75</v>
      </c>
      <c r="M11" s="2">
        <f t="shared" si="3"/>
        <v>3.9000000000000004</v>
      </c>
      <c r="N11" s="2">
        <f t="shared" si="4"/>
        <v>5.3999999999999995</v>
      </c>
      <c r="O11" s="2">
        <f t="shared" si="5"/>
        <v>9.3000000000000007</v>
      </c>
      <c r="P11" t="s">
        <v>37</v>
      </c>
      <c r="Q11" t="s">
        <v>38</v>
      </c>
    </row>
    <row r="12" spans="1:17" x14ac:dyDescent="0.25">
      <c r="A12" t="s">
        <v>15</v>
      </c>
      <c r="B12" t="s">
        <v>72</v>
      </c>
      <c r="C12" t="s">
        <v>39</v>
      </c>
      <c r="D12">
        <v>2024</v>
      </c>
      <c r="E12" t="s">
        <v>17</v>
      </c>
      <c r="F12" s="2">
        <v>10</v>
      </c>
      <c r="G12" s="2">
        <v>10</v>
      </c>
      <c r="H12" s="2">
        <f t="shared" si="0"/>
        <v>10</v>
      </c>
      <c r="I12" s="2">
        <v>10</v>
      </c>
      <c r="J12" s="2">
        <f t="shared" si="1"/>
        <v>10</v>
      </c>
      <c r="K12" s="2">
        <v>8.14</v>
      </c>
      <c r="L12" s="2">
        <f t="shared" si="2"/>
        <v>10</v>
      </c>
      <c r="M12" s="2">
        <f t="shared" si="3"/>
        <v>4</v>
      </c>
      <c r="N12" s="2">
        <f t="shared" si="4"/>
        <v>4.8840000000000003</v>
      </c>
      <c r="O12" s="2">
        <f t="shared" si="5"/>
        <v>8.8840000000000003</v>
      </c>
      <c r="P12" t="s">
        <v>37</v>
      </c>
      <c r="Q12" t="s">
        <v>40</v>
      </c>
    </row>
    <row r="13" spans="1:17" x14ac:dyDescent="0.25">
      <c r="A13" t="s">
        <v>20</v>
      </c>
      <c r="B13" t="s">
        <v>73</v>
      </c>
      <c r="C13" t="s">
        <v>41</v>
      </c>
      <c r="D13">
        <v>2025</v>
      </c>
      <c r="E13" t="s">
        <v>17</v>
      </c>
      <c r="F13" s="2">
        <v>10</v>
      </c>
      <c r="G13" s="2">
        <v>10</v>
      </c>
      <c r="H13" s="2">
        <f t="shared" si="0"/>
        <v>10</v>
      </c>
      <c r="I13" s="2">
        <v>9.5</v>
      </c>
      <c r="J13" s="2">
        <f t="shared" si="1"/>
        <v>9.5</v>
      </c>
      <c r="K13" s="2">
        <v>10</v>
      </c>
      <c r="L13" s="2">
        <f t="shared" si="2"/>
        <v>9.75</v>
      </c>
      <c r="M13" s="2">
        <f t="shared" si="3"/>
        <v>3.9000000000000004</v>
      </c>
      <c r="N13" s="2">
        <f t="shared" si="4"/>
        <v>6</v>
      </c>
      <c r="O13" s="2">
        <f t="shared" si="5"/>
        <v>9.9</v>
      </c>
      <c r="P13" t="s">
        <v>23</v>
      </c>
      <c r="Q13" t="s">
        <v>42</v>
      </c>
    </row>
    <row r="14" spans="1:17" x14ac:dyDescent="0.25">
      <c r="A14" t="s">
        <v>20</v>
      </c>
      <c r="B14" t="s">
        <v>73</v>
      </c>
      <c r="C14" t="s">
        <v>41</v>
      </c>
      <c r="D14">
        <v>2025</v>
      </c>
      <c r="E14" t="s">
        <v>17</v>
      </c>
      <c r="F14" s="2">
        <v>10</v>
      </c>
      <c r="G14" s="2">
        <v>10</v>
      </c>
      <c r="H14" s="2">
        <f t="shared" si="0"/>
        <v>10</v>
      </c>
      <c r="I14" s="2">
        <v>9.5</v>
      </c>
      <c r="J14" s="2">
        <f t="shared" si="1"/>
        <v>9.5</v>
      </c>
      <c r="K14" s="2">
        <v>10</v>
      </c>
      <c r="L14" s="2">
        <f t="shared" si="2"/>
        <v>9.75</v>
      </c>
      <c r="M14" s="2">
        <f t="shared" si="3"/>
        <v>3.9000000000000004</v>
      </c>
      <c r="N14" s="2">
        <f t="shared" si="4"/>
        <v>6</v>
      </c>
      <c r="O14" s="2">
        <f t="shared" si="5"/>
        <v>9.9</v>
      </c>
      <c r="P14" t="s">
        <v>23</v>
      </c>
      <c r="Q14" t="s">
        <v>42</v>
      </c>
    </row>
    <row r="15" spans="1:17" x14ac:dyDescent="0.25">
      <c r="A15" t="s">
        <v>20</v>
      </c>
      <c r="B15" s="1" t="s">
        <v>77</v>
      </c>
      <c r="C15" s="1" t="s">
        <v>43</v>
      </c>
      <c r="D15">
        <v>2025</v>
      </c>
      <c r="E15" t="s">
        <v>22</v>
      </c>
      <c r="F15" s="2">
        <v>10</v>
      </c>
      <c r="G15" s="2">
        <v>10</v>
      </c>
      <c r="H15" s="2">
        <f t="shared" si="0"/>
        <v>10</v>
      </c>
      <c r="I15" s="2">
        <v>10</v>
      </c>
      <c r="J15" s="2">
        <f t="shared" si="1"/>
        <v>10</v>
      </c>
      <c r="K15" s="2">
        <v>10</v>
      </c>
      <c r="L15" s="2">
        <f t="shared" si="2"/>
        <v>10</v>
      </c>
      <c r="M15" s="2">
        <f t="shared" si="3"/>
        <v>4</v>
      </c>
      <c r="N15" s="2">
        <f t="shared" si="4"/>
        <v>6</v>
      </c>
      <c r="O15" s="2">
        <f t="shared" si="5"/>
        <v>10</v>
      </c>
      <c r="P15" t="s">
        <v>18</v>
      </c>
      <c r="Q15" t="s">
        <v>44</v>
      </c>
    </row>
    <row r="16" spans="1:17" x14ac:dyDescent="0.25">
      <c r="A16" t="s">
        <v>20</v>
      </c>
      <c r="B16" t="s">
        <v>69</v>
      </c>
      <c r="C16" t="s">
        <v>21</v>
      </c>
      <c r="D16">
        <v>2024</v>
      </c>
      <c r="E16" t="s">
        <v>17</v>
      </c>
      <c r="F16" s="2">
        <v>10</v>
      </c>
      <c r="G16" s="2">
        <v>10</v>
      </c>
      <c r="H16" s="2">
        <f t="shared" si="0"/>
        <v>10</v>
      </c>
      <c r="I16" s="2">
        <v>9.5</v>
      </c>
      <c r="J16" s="2">
        <f t="shared" si="1"/>
        <v>9.5</v>
      </c>
      <c r="K16" s="2">
        <v>10</v>
      </c>
      <c r="L16" s="2">
        <f t="shared" si="2"/>
        <v>9.75</v>
      </c>
      <c r="M16" s="2">
        <f t="shared" si="3"/>
        <v>3.9000000000000004</v>
      </c>
      <c r="N16" s="2">
        <f t="shared" si="4"/>
        <v>6</v>
      </c>
      <c r="O16" s="2">
        <f t="shared" si="5"/>
        <v>9.9</v>
      </c>
      <c r="P16" t="s">
        <v>23</v>
      </c>
      <c r="Q16" t="s">
        <v>24</v>
      </c>
    </row>
    <row r="17" spans="1:17" x14ac:dyDescent="0.25">
      <c r="A17" t="s">
        <v>20</v>
      </c>
      <c r="B17" s="1" t="s">
        <v>68</v>
      </c>
      <c r="C17" s="1" t="s">
        <v>45</v>
      </c>
      <c r="D17">
        <v>2025</v>
      </c>
      <c r="E17" t="s">
        <v>17</v>
      </c>
      <c r="F17" s="2">
        <v>0</v>
      </c>
      <c r="G17" s="2">
        <v>10</v>
      </c>
      <c r="H17" s="2">
        <f t="shared" si="0"/>
        <v>5</v>
      </c>
      <c r="I17" s="2">
        <v>4</v>
      </c>
      <c r="J17" s="2">
        <f t="shared" si="1"/>
        <v>4</v>
      </c>
      <c r="K17" s="2">
        <v>8</v>
      </c>
      <c r="L17" s="2">
        <f t="shared" si="2"/>
        <v>4.5</v>
      </c>
      <c r="M17" s="2">
        <f t="shared" si="3"/>
        <v>1.7999999999999998</v>
      </c>
      <c r="N17" s="2">
        <f t="shared" si="4"/>
        <v>4.8</v>
      </c>
      <c r="O17" s="2">
        <f t="shared" si="5"/>
        <v>6.6</v>
      </c>
      <c r="P17" t="s">
        <v>18</v>
      </c>
      <c r="Q17" t="s">
        <v>19</v>
      </c>
    </row>
    <row r="18" spans="1:17" x14ac:dyDescent="0.25">
      <c r="A18" t="s">
        <v>15</v>
      </c>
      <c r="B18" t="s">
        <v>75</v>
      </c>
      <c r="C18" t="s">
        <v>28</v>
      </c>
      <c r="D18">
        <v>2025</v>
      </c>
      <c r="E18" t="s">
        <v>17</v>
      </c>
      <c r="F18" s="2">
        <v>8.1999999999999993</v>
      </c>
      <c r="G18" s="2">
        <v>10</v>
      </c>
      <c r="H18" s="2">
        <f t="shared" si="0"/>
        <v>9.1</v>
      </c>
      <c r="I18" s="2">
        <v>4</v>
      </c>
      <c r="J18" s="2">
        <f t="shared" si="1"/>
        <v>4</v>
      </c>
      <c r="K18" s="2">
        <v>7.57</v>
      </c>
      <c r="L18" s="2">
        <f t="shared" si="2"/>
        <v>6.55</v>
      </c>
      <c r="M18" s="2">
        <f t="shared" si="3"/>
        <v>2.62</v>
      </c>
      <c r="N18" s="2">
        <f t="shared" si="4"/>
        <v>4.5419999999999998</v>
      </c>
      <c r="O18" s="2">
        <f t="shared" si="5"/>
        <v>7.1619999999999999</v>
      </c>
      <c r="P18" t="s">
        <v>26</v>
      </c>
      <c r="Q18" t="s">
        <v>29</v>
      </c>
    </row>
    <row r="19" spans="1:17" x14ac:dyDescent="0.25">
      <c r="A19" t="s">
        <v>15</v>
      </c>
      <c r="B19" t="s">
        <v>77</v>
      </c>
      <c r="C19" t="s">
        <v>43</v>
      </c>
      <c r="D19">
        <v>2025</v>
      </c>
      <c r="E19" t="s">
        <v>17</v>
      </c>
      <c r="F19" s="2">
        <v>7.3</v>
      </c>
      <c r="G19" s="2">
        <v>10</v>
      </c>
      <c r="H19" s="2">
        <f t="shared" si="0"/>
        <v>8.65</v>
      </c>
      <c r="I19" s="2">
        <v>5</v>
      </c>
      <c r="J19" s="2">
        <f t="shared" si="1"/>
        <v>5</v>
      </c>
      <c r="K19" s="2">
        <v>8.08</v>
      </c>
      <c r="L19" s="2">
        <f t="shared" si="2"/>
        <v>6.8250000000000002</v>
      </c>
      <c r="M19" s="2">
        <f t="shared" si="3"/>
        <v>2.7300000000000004</v>
      </c>
      <c r="N19" s="2">
        <f t="shared" si="4"/>
        <v>4.8479999999999999</v>
      </c>
      <c r="O19" s="2">
        <f t="shared" si="5"/>
        <v>7.5780000000000003</v>
      </c>
      <c r="P19" t="s">
        <v>18</v>
      </c>
      <c r="Q19" t="s">
        <v>44</v>
      </c>
    </row>
    <row r="20" spans="1:17" x14ac:dyDescent="0.25">
      <c r="A20" t="s">
        <v>20</v>
      </c>
      <c r="B20" t="s">
        <v>74</v>
      </c>
      <c r="C20" t="s">
        <v>46</v>
      </c>
      <c r="D20">
        <v>2024</v>
      </c>
      <c r="E20" t="s">
        <v>17</v>
      </c>
      <c r="F20" s="2">
        <v>9.5</v>
      </c>
      <c r="G20" s="2">
        <v>10</v>
      </c>
      <c r="H20" s="2">
        <f t="shared" si="0"/>
        <v>9.75</v>
      </c>
      <c r="I20" s="2">
        <v>10</v>
      </c>
      <c r="J20" s="2">
        <f t="shared" si="1"/>
        <v>10</v>
      </c>
      <c r="K20" s="2">
        <v>10</v>
      </c>
      <c r="L20" s="2">
        <f t="shared" si="2"/>
        <v>9.875</v>
      </c>
      <c r="M20" s="2">
        <f t="shared" si="3"/>
        <v>3.95</v>
      </c>
      <c r="N20" s="2">
        <f t="shared" si="4"/>
        <v>6</v>
      </c>
      <c r="O20" s="2">
        <f t="shared" si="5"/>
        <v>9.9499999999999993</v>
      </c>
      <c r="P20" t="s">
        <v>18</v>
      </c>
      <c r="Q20" t="s">
        <v>47</v>
      </c>
    </row>
    <row r="21" spans="1:17" x14ac:dyDescent="0.25">
      <c r="A21" t="s">
        <v>15</v>
      </c>
      <c r="B21" t="s">
        <v>74</v>
      </c>
      <c r="C21" t="s">
        <v>48</v>
      </c>
      <c r="D21">
        <v>2025</v>
      </c>
      <c r="E21" t="s">
        <v>17</v>
      </c>
      <c r="F21" s="2">
        <v>8.8000000000000007</v>
      </c>
      <c r="G21" s="2">
        <v>9.8000000000000007</v>
      </c>
      <c r="H21" s="2">
        <f t="shared" si="0"/>
        <v>9.3000000000000007</v>
      </c>
      <c r="I21" s="2">
        <v>8</v>
      </c>
      <c r="J21" s="2">
        <f t="shared" si="1"/>
        <v>8</v>
      </c>
      <c r="K21" s="2">
        <v>8.98</v>
      </c>
      <c r="L21" s="2">
        <f t="shared" si="2"/>
        <v>8.65</v>
      </c>
      <c r="M21" s="2">
        <f t="shared" si="3"/>
        <v>3.4600000000000004</v>
      </c>
      <c r="N21" s="2">
        <f t="shared" si="4"/>
        <v>5.3879999999999999</v>
      </c>
      <c r="O21" s="2">
        <f t="shared" si="5"/>
        <v>8.8480000000000008</v>
      </c>
      <c r="P21" t="s">
        <v>18</v>
      </c>
      <c r="Q21" t="s">
        <v>47</v>
      </c>
    </row>
    <row r="22" spans="1:17" x14ac:dyDescent="0.25">
      <c r="A22" t="s">
        <v>15</v>
      </c>
      <c r="B22" s="1" t="s">
        <v>74</v>
      </c>
      <c r="C22" s="1" t="s">
        <v>48</v>
      </c>
      <c r="D22">
        <v>2025</v>
      </c>
      <c r="E22" t="s">
        <v>17</v>
      </c>
      <c r="F22" s="2">
        <v>7</v>
      </c>
      <c r="G22" s="2">
        <v>10</v>
      </c>
      <c r="H22" s="2">
        <f t="shared" si="0"/>
        <v>8.5</v>
      </c>
      <c r="I22" s="2">
        <v>4</v>
      </c>
      <c r="J22" s="2">
        <f t="shared" si="1"/>
        <v>4</v>
      </c>
      <c r="K22" s="2">
        <v>8</v>
      </c>
      <c r="L22" s="2">
        <f t="shared" si="2"/>
        <v>6.25</v>
      </c>
      <c r="M22" s="2">
        <f t="shared" si="3"/>
        <v>2.5</v>
      </c>
      <c r="N22" s="2">
        <f t="shared" si="4"/>
        <v>4.8</v>
      </c>
      <c r="O22" s="2">
        <f t="shared" si="5"/>
        <v>7.3</v>
      </c>
      <c r="P22" t="s">
        <v>18</v>
      </c>
      <c r="Q22" t="s">
        <v>47</v>
      </c>
    </row>
    <row r="23" spans="1:17" x14ac:dyDescent="0.25">
      <c r="A23" t="s">
        <v>20</v>
      </c>
      <c r="B23" t="s">
        <v>77</v>
      </c>
      <c r="C23" t="s">
        <v>43</v>
      </c>
      <c r="D23">
        <v>2025</v>
      </c>
      <c r="E23" t="s">
        <v>17</v>
      </c>
      <c r="F23" s="2">
        <v>10</v>
      </c>
      <c r="G23" s="2">
        <v>10</v>
      </c>
      <c r="H23" s="2">
        <f t="shared" si="0"/>
        <v>10</v>
      </c>
      <c r="I23" s="2">
        <v>10</v>
      </c>
      <c r="J23" s="2">
        <f t="shared" si="1"/>
        <v>10</v>
      </c>
      <c r="K23" s="2">
        <v>10</v>
      </c>
      <c r="L23" s="2">
        <f t="shared" si="2"/>
        <v>10</v>
      </c>
      <c r="M23" s="2">
        <f t="shared" si="3"/>
        <v>4</v>
      </c>
      <c r="N23" s="2">
        <f t="shared" si="4"/>
        <v>6</v>
      </c>
      <c r="O23" s="2">
        <f t="shared" si="5"/>
        <v>10</v>
      </c>
      <c r="P23" t="s">
        <v>18</v>
      </c>
      <c r="Q23" t="s">
        <v>44</v>
      </c>
    </row>
    <row r="24" spans="1:17" x14ac:dyDescent="0.25">
      <c r="A24" t="s">
        <v>20</v>
      </c>
      <c r="B24" t="s">
        <v>70</v>
      </c>
      <c r="C24" t="s">
        <v>34</v>
      </c>
      <c r="D24">
        <v>2025</v>
      </c>
      <c r="E24" t="s">
        <v>17</v>
      </c>
      <c r="F24" s="2">
        <v>0</v>
      </c>
      <c r="G24" s="2">
        <v>10</v>
      </c>
      <c r="H24" s="2">
        <f t="shared" si="0"/>
        <v>5</v>
      </c>
      <c r="I24" s="2">
        <v>4</v>
      </c>
      <c r="J24" s="2">
        <f t="shared" si="1"/>
        <v>4</v>
      </c>
      <c r="K24" s="2">
        <v>10</v>
      </c>
      <c r="L24" s="2">
        <f t="shared" si="2"/>
        <v>4.5</v>
      </c>
      <c r="M24" s="2">
        <f t="shared" si="3"/>
        <v>1.7999999999999998</v>
      </c>
      <c r="N24" s="2">
        <f t="shared" si="4"/>
        <v>6</v>
      </c>
      <c r="O24" s="2">
        <f t="shared" si="5"/>
        <v>7.8</v>
      </c>
      <c r="P24" t="s">
        <v>26</v>
      </c>
      <c r="Q24" t="s">
        <v>35</v>
      </c>
    </row>
    <row r="25" spans="1:17" x14ac:dyDescent="0.25">
      <c r="A25" t="s">
        <v>15</v>
      </c>
      <c r="B25" t="s">
        <v>68</v>
      </c>
      <c r="C25" t="s">
        <v>45</v>
      </c>
      <c r="D25">
        <v>2024</v>
      </c>
      <c r="E25" t="s">
        <v>17</v>
      </c>
      <c r="F25" s="2">
        <v>10</v>
      </c>
      <c r="G25" s="2">
        <v>10</v>
      </c>
      <c r="H25" s="2">
        <f t="shared" si="0"/>
        <v>10</v>
      </c>
      <c r="I25" s="2">
        <v>7.5</v>
      </c>
      <c r="J25" s="2">
        <f t="shared" si="1"/>
        <v>7.5</v>
      </c>
      <c r="K25" s="2">
        <v>7.61</v>
      </c>
      <c r="L25" s="2">
        <f t="shared" si="2"/>
        <v>8.75</v>
      </c>
      <c r="M25" s="2">
        <f t="shared" si="3"/>
        <v>3.5</v>
      </c>
      <c r="N25" s="2">
        <f t="shared" si="4"/>
        <v>4.5659999999999998</v>
      </c>
      <c r="O25" s="2">
        <f t="shared" si="5"/>
        <v>8.0659999999999989</v>
      </c>
      <c r="P25" t="s">
        <v>18</v>
      </c>
      <c r="Q25" t="s">
        <v>19</v>
      </c>
    </row>
    <row r="26" spans="1:17" x14ac:dyDescent="0.25">
      <c r="A26" t="s">
        <v>20</v>
      </c>
      <c r="B26" t="s">
        <v>80</v>
      </c>
      <c r="C26" t="s">
        <v>25</v>
      </c>
      <c r="D26">
        <v>2025</v>
      </c>
      <c r="E26" t="s">
        <v>17</v>
      </c>
      <c r="F26" s="2">
        <v>4.5</v>
      </c>
      <c r="G26" s="2">
        <v>10</v>
      </c>
      <c r="H26" s="2">
        <f t="shared" si="0"/>
        <v>7.25</v>
      </c>
      <c r="I26" s="2">
        <v>8</v>
      </c>
      <c r="J26" s="2">
        <f t="shared" si="1"/>
        <v>8</v>
      </c>
      <c r="K26" s="2">
        <v>9.4</v>
      </c>
      <c r="L26" s="2">
        <f t="shared" si="2"/>
        <v>7.625</v>
      </c>
      <c r="M26" s="2">
        <f t="shared" si="3"/>
        <v>3.05</v>
      </c>
      <c r="N26" s="2">
        <f t="shared" si="4"/>
        <v>5.64</v>
      </c>
      <c r="O26" s="2">
        <f t="shared" si="5"/>
        <v>8.69</v>
      </c>
      <c r="P26" t="s">
        <v>26</v>
      </c>
      <c r="Q26" t="s">
        <v>27</v>
      </c>
    </row>
    <row r="27" spans="1:17" x14ac:dyDescent="0.25">
      <c r="A27" t="s">
        <v>15</v>
      </c>
      <c r="B27" s="1" t="s">
        <v>78</v>
      </c>
      <c r="C27" s="1" t="s">
        <v>32</v>
      </c>
      <c r="D27">
        <v>2025</v>
      </c>
      <c r="E27" t="s">
        <v>17</v>
      </c>
      <c r="F27" s="2">
        <v>8.1999999999999993</v>
      </c>
      <c r="G27" s="2">
        <v>10</v>
      </c>
      <c r="H27" s="2">
        <f t="shared" si="0"/>
        <v>9.1</v>
      </c>
      <c r="I27" s="2">
        <v>4</v>
      </c>
      <c r="J27" s="2">
        <f t="shared" si="1"/>
        <v>4</v>
      </c>
      <c r="K27" s="2">
        <v>7.57</v>
      </c>
      <c r="L27" s="2">
        <f t="shared" si="2"/>
        <v>6.55</v>
      </c>
      <c r="M27" s="2">
        <f t="shared" si="3"/>
        <v>2.62</v>
      </c>
      <c r="N27" s="2">
        <f t="shared" si="4"/>
        <v>4.5419999999999998</v>
      </c>
      <c r="O27" s="2">
        <f t="shared" si="5"/>
        <v>7.1619999999999999</v>
      </c>
      <c r="P27" t="s">
        <v>26</v>
      </c>
      <c r="Q27" t="s">
        <v>33</v>
      </c>
    </row>
    <row r="28" spans="1:17" x14ac:dyDescent="0.25">
      <c r="A28" t="s">
        <v>15</v>
      </c>
      <c r="B28" t="s">
        <v>74</v>
      </c>
      <c r="C28" t="s">
        <v>48</v>
      </c>
      <c r="D28">
        <v>2025</v>
      </c>
      <c r="E28" t="s">
        <v>17</v>
      </c>
      <c r="F28" s="2">
        <v>8.5</v>
      </c>
      <c r="G28" s="2">
        <v>10</v>
      </c>
      <c r="H28" s="2">
        <f t="shared" si="0"/>
        <v>9.25</v>
      </c>
      <c r="I28" s="2">
        <v>8</v>
      </c>
      <c r="J28" s="2">
        <f t="shared" si="1"/>
        <v>8</v>
      </c>
      <c r="K28" s="2">
        <v>7.8</v>
      </c>
      <c r="L28" s="2">
        <f t="shared" si="2"/>
        <v>8.625</v>
      </c>
      <c r="M28" s="2">
        <f t="shared" si="3"/>
        <v>3.4499999999999997</v>
      </c>
      <c r="N28" s="2">
        <f t="shared" si="4"/>
        <v>4.68</v>
      </c>
      <c r="O28" s="2">
        <f t="shared" si="5"/>
        <v>8.129999999999999</v>
      </c>
      <c r="P28" t="s">
        <v>18</v>
      </c>
      <c r="Q28" t="s">
        <v>47</v>
      </c>
    </row>
    <row r="29" spans="1:17" x14ac:dyDescent="0.25">
      <c r="A29" t="s">
        <v>15</v>
      </c>
      <c r="B29" t="s">
        <v>74</v>
      </c>
      <c r="C29" t="s">
        <v>46</v>
      </c>
      <c r="D29">
        <v>2025</v>
      </c>
      <c r="E29" t="s">
        <v>17</v>
      </c>
      <c r="F29" s="2">
        <v>10</v>
      </c>
      <c r="G29" s="2">
        <v>10</v>
      </c>
      <c r="H29" s="2">
        <f t="shared" si="0"/>
        <v>10</v>
      </c>
      <c r="I29" s="2">
        <v>7</v>
      </c>
      <c r="J29" s="2">
        <f t="shared" si="1"/>
        <v>7</v>
      </c>
      <c r="K29" s="2">
        <v>9.8000000000000007</v>
      </c>
      <c r="L29" s="2">
        <f t="shared" si="2"/>
        <v>8.5</v>
      </c>
      <c r="M29" s="2">
        <f t="shared" si="3"/>
        <v>3.4000000000000004</v>
      </c>
      <c r="N29" s="2">
        <f t="shared" si="4"/>
        <v>5.88</v>
      </c>
      <c r="O29" s="2">
        <f t="shared" si="5"/>
        <v>9.2800000000000011</v>
      </c>
      <c r="P29" t="s">
        <v>18</v>
      </c>
      <c r="Q29" t="s">
        <v>47</v>
      </c>
    </row>
    <row r="30" spans="1:17" x14ac:dyDescent="0.25">
      <c r="A30" t="s">
        <v>15</v>
      </c>
      <c r="B30" s="1" t="s">
        <v>81</v>
      </c>
      <c r="C30" s="1" t="s">
        <v>49</v>
      </c>
      <c r="D30">
        <v>2024</v>
      </c>
      <c r="E30" t="s">
        <v>17</v>
      </c>
      <c r="F30" s="2">
        <v>10</v>
      </c>
      <c r="G30" s="2">
        <v>10</v>
      </c>
      <c r="H30" s="2">
        <f t="shared" si="0"/>
        <v>10</v>
      </c>
      <c r="I30" s="2">
        <v>8.5</v>
      </c>
      <c r="J30" s="2">
        <f t="shared" si="1"/>
        <v>8.5</v>
      </c>
      <c r="K30" s="2">
        <v>6.25</v>
      </c>
      <c r="L30" s="2">
        <f t="shared" si="2"/>
        <v>9.25</v>
      </c>
      <c r="M30" s="2">
        <f t="shared" si="3"/>
        <v>3.7</v>
      </c>
      <c r="N30" s="2">
        <f t="shared" si="4"/>
        <v>3.75</v>
      </c>
      <c r="O30" s="2">
        <f t="shared" si="5"/>
        <v>7.45</v>
      </c>
      <c r="P30" t="s">
        <v>23</v>
      </c>
      <c r="Q30" t="s">
        <v>50</v>
      </c>
    </row>
    <row r="31" spans="1:17" x14ac:dyDescent="0.25">
      <c r="A31" t="s">
        <v>15</v>
      </c>
      <c r="B31" t="s">
        <v>75</v>
      </c>
      <c r="C31" t="s">
        <v>51</v>
      </c>
      <c r="D31">
        <v>2025</v>
      </c>
      <c r="E31" t="s">
        <v>17</v>
      </c>
      <c r="F31" s="2">
        <v>8.8000000000000007</v>
      </c>
      <c r="G31" s="2">
        <v>9.8000000000000007</v>
      </c>
      <c r="H31" s="2">
        <f t="shared" si="0"/>
        <v>9.3000000000000007</v>
      </c>
      <c r="I31" s="2">
        <v>8</v>
      </c>
      <c r="J31" s="2">
        <f t="shared" si="1"/>
        <v>8</v>
      </c>
      <c r="K31" s="2">
        <v>8.48</v>
      </c>
      <c r="L31" s="2">
        <f t="shared" si="2"/>
        <v>8.65</v>
      </c>
      <c r="M31" s="2">
        <f t="shared" si="3"/>
        <v>3.4600000000000004</v>
      </c>
      <c r="N31" s="2">
        <f t="shared" si="4"/>
        <v>5.0880000000000001</v>
      </c>
      <c r="O31" s="2">
        <f t="shared" si="5"/>
        <v>8.548</v>
      </c>
      <c r="P31" t="s">
        <v>26</v>
      </c>
      <c r="Q31" t="s">
        <v>29</v>
      </c>
    </row>
    <row r="32" spans="1:17" x14ac:dyDescent="0.25">
      <c r="A32" t="s">
        <v>15</v>
      </c>
      <c r="B32" s="1" t="s">
        <v>71</v>
      </c>
      <c r="C32" s="1" t="s">
        <v>52</v>
      </c>
      <c r="D32">
        <v>2024</v>
      </c>
      <c r="E32" t="s">
        <v>17</v>
      </c>
      <c r="F32" s="2">
        <v>10</v>
      </c>
      <c r="G32" s="2">
        <v>10</v>
      </c>
      <c r="H32" s="2">
        <f t="shared" si="0"/>
        <v>10</v>
      </c>
      <c r="I32" s="2">
        <v>10</v>
      </c>
      <c r="J32" s="2">
        <f t="shared" si="1"/>
        <v>10</v>
      </c>
      <c r="K32" s="2">
        <v>9.35</v>
      </c>
      <c r="L32" s="2">
        <f t="shared" si="2"/>
        <v>10</v>
      </c>
      <c r="M32" s="2">
        <f t="shared" si="3"/>
        <v>4</v>
      </c>
      <c r="N32" s="2">
        <f t="shared" si="4"/>
        <v>5.61</v>
      </c>
      <c r="O32" s="2">
        <f t="shared" si="5"/>
        <v>9.61</v>
      </c>
      <c r="P32" t="s">
        <v>37</v>
      </c>
      <c r="Q32" t="s">
        <v>38</v>
      </c>
    </row>
    <row r="33" spans="1:17" x14ac:dyDescent="0.25">
      <c r="A33" t="s">
        <v>15</v>
      </c>
      <c r="B33" s="1" t="s">
        <v>74</v>
      </c>
      <c r="C33" s="1" t="s">
        <v>46</v>
      </c>
      <c r="D33">
        <v>2025</v>
      </c>
      <c r="E33" t="s">
        <v>17</v>
      </c>
      <c r="F33" s="2">
        <v>8.5</v>
      </c>
      <c r="G33" s="2">
        <v>10</v>
      </c>
      <c r="H33" s="2">
        <f t="shared" si="0"/>
        <v>9.25</v>
      </c>
      <c r="I33" s="2">
        <v>8</v>
      </c>
      <c r="J33" s="2">
        <f t="shared" si="1"/>
        <v>8</v>
      </c>
      <c r="K33" s="2">
        <v>7.65</v>
      </c>
      <c r="L33" s="2">
        <f t="shared" si="2"/>
        <v>8.625</v>
      </c>
      <c r="M33" s="2">
        <f t="shared" si="3"/>
        <v>3.4499999999999997</v>
      </c>
      <c r="N33" s="2">
        <f t="shared" si="4"/>
        <v>4.59</v>
      </c>
      <c r="O33" s="2">
        <f t="shared" si="5"/>
        <v>8.0399999999999991</v>
      </c>
      <c r="P33" t="s">
        <v>18</v>
      </c>
      <c r="Q33" t="s">
        <v>47</v>
      </c>
    </row>
    <row r="34" spans="1:17" x14ac:dyDescent="0.25">
      <c r="A34" t="s">
        <v>15</v>
      </c>
      <c r="B34" t="s">
        <v>74</v>
      </c>
      <c r="C34" t="s">
        <v>46</v>
      </c>
      <c r="D34">
        <v>2025</v>
      </c>
      <c r="E34" t="s">
        <v>22</v>
      </c>
      <c r="F34" s="2">
        <v>9.1</v>
      </c>
      <c r="G34" s="2">
        <v>10</v>
      </c>
      <c r="H34" s="2">
        <f t="shared" si="0"/>
        <v>9.5500000000000007</v>
      </c>
      <c r="I34" s="2">
        <v>10</v>
      </c>
      <c r="J34" s="2">
        <f t="shared" si="1"/>
        <v>10</v>
      </c>
      <c r="K34" s="2">
        <v>8.81</v>
      </c>
      <c r="L34" s="2">
        <f t="shared" si="2"/>
        <v>9.7750000000000004</v>
      </c>
      <c r="M34" s="2">
        <f t="shared" si="3"/>
        <v>3.91</v>
      </c>
      <c r="N34" s="2">
        <f t="shared" si="4"/>
        <v>5.2860000000000005</v>
      </c>
      <c r="O34" s="2">
        <f t="shared" si="5"/>
        <v>9.1960000000000015</v>
      </c>
      <c r="P34" t="s">
        <v>18</v>
      </c>
      <c r="Q34" t="s">
        <v>47</v>
      </c>
    </row>
    <row r="35" spans="1:17" x14ac:dyDescent="0.25">
      <c r="A35" t="s">
        <v>15</v>
      </c>
      <c r="B35" t="s">
        <v>78</v>
      </c>
      <c r="C35" t="s">
        <v>32</v>
      </c>
      <c r="D35">
        <v>2025</v>
      </c>
      <c r="E35" t="s">
        <v>17</v>
      </c>
      <c r="F35" s="2">
        <v>8.8000000000000007</v>
      </c>
      <c r="G35" s="2">
        <v>9.8000000000000007</v>
      </c>
      <c r="H35" s="2">
        <f t="shared" si="0"/>
        <v>9.3000000000000007</v>
      </c>
      <c r="I35" s="2">
        <v>8</v>
      </c>
      <c r="J35" s="2">
        <f t="shared" si="1"/>
        <v>8</v>
      </c>
      <c r="K35" s="2">
        <v>7.38</v>
      </c>
      <c r="L35" s="2">
        <f t="shared" si="2"/>
        <v>8.65</v>
      </c>
      <c r="M35" s="2">
        <f t="shared" si="3"/>
        <v>3.4600000000000004</v>
      </c>
      <c r="N35" s="2">
        <f t="shared" si="4"/>
        <v>4.4279999999999999</v>
      </c>
      <c r="O35" s="2">
        <f t="shared" si="5"/>
        <v>7.8879999999999999</v>
      </c>
      <c r="P35" t="s">
        <v>26</v>
      </c>
      <c r="Q35" t="s">
        <v>33</v>
      </c>
    </row>
    <row r="36" spans="1:17" x14ac:dyDescent="0.25">
      <c r="A36" t="s">
        <v>15</v>
      </c>
      <c r="B36" t="s">
        <v>76</v>
      </c>
      <c r="C36" t="s">
        <v>30</v>
      </c>
      <c r="D36">
        <v>2025</v>
      </c>
      <c r="E36" t="s">
        <v>17</v>
      </c>
      <c r="F36" s="2">
        <v>8.5</v>
      </c>
      <c r="G36" s="2">
        <v>10</v>
      </c>
      <c r="H36" s="2">
        <f t="shared" si="0"/>
        <v>9.25</v>
      </c>
      <c r="I36" s="2">
        <v>8</v>
      </c>
      <c r="J36" s="2">
        <f t="shared" si="1"/>
        <v>8</v>
      </c>
      <c r="K36" s="2">
        <v>8.5</v>
      </c>
      <c r="L36" s="2">
        <f t="shared" si="2"/>
        <v>8.625</v>
      </c>
      <c r="M36" s="2">
        <f t="shared" si="3"/>
        <v>3.4499999999999997</v>
      </c>
      <c r="N36" s="2">
        <f t="shared" si="4"/>
        <v>5.1000000000000005</v>
      </c>
      <c r="O36" s="2">
        <f t="shared" si="5"/>
        <v>8.5500000000000007</v>
      </c>
      <c r="P36" t="s">
        <v>18</v>
      </c>
      <c r="Q36" t="s">
        <v>31</v>
      </c>
    </row>
    <row r="37" spans="1:17" x14ac:dyDescent="0.25">
      <c r="A37" t="s">
        <v>20</v>
      </c>
      <c r="B37" t="s">
        <v>73</v>
      </c>
      <c r="C37" t="s">
        <v>53</v>
      </c>
      <c r="D37">
        <v>2025</v>
      </c>
      <c r="E37" t="s">
        <v>17</v>
      </c>
      <c r="F37" s="2">
        <v>5</v>
      </c>
      <c r="G37" s="2">
        <v>10</v>
      </c>
      <c r="H37" s="2">
        <f t="shared" si="0"/>
        <v>7.5</v>
      </c>
      <c r="I37" s="2">
        <v>8</v>
      </c>
      <c r="J37" s="2">
        <f t="shared" si="1"/>
        <v>8</v>
      </c>
      <c r="K37" s="2">
        <v>7</v>
      </c>
      <c r="L37" s="2">
        <f t="shared" si="2"/>
        <v>7.75</v>
      </c>
      <c r="M37" s="2">
        <f t="shared" si="3"/>
        <v>3.1</v>
      </c>
      <c r="N37" s="2">
        <f t="shared" si="4"/>
        <v>4.2</v>
      </c>
      <c r="O37" s="2">
        <f t="shared" si="5"/>
        <v>7.3000000000000007</v>
      </c>
      <c r="P37" t="s">
        <v>23</v>
      </c>
      <c r="Q37" t="s">
        <v>42</v>
      </c>
    </row>
    <row r="38" spans="1:17" x14ac:dyDescent="0.25">
      <c r="A38" t="s">
        <v>20</v>
      </c>
      <c r="B38" t="s">
        <v>73</v>
      </c>
      <c r="C38" t="s">
        <v>53</v>
      </c>
      <c r="D38">
        <v>2025</v>
      </c>
      <c r="E38" t="s">
        <v>17</v>
      </c>
      <c r="F38" s="2">
        <v>6.5</v>
      </c>
      <c r="G38" s="2">
        <v>10</v>
      </c>
      <c r="H38" s="2">
        <f t="shared" si="0"/>
        <v>8.25</v>
      </c>
      <c r="I38" s="2">
        <v>8</v>
      </c>
      <c r="J38" s="2">
        <f t="shared" si="1"/>
        <v>8</v>
      </c>
      <c r="K38" s="2">
        <v>10</v>
      </c>
      <c r="L38" s="2">
        <f t="shared" si="2"/>
        <v>8.125</v>
      </c>
      <c r="M38" s="2">
        <f t="shared" si="3"/>
        <v>3.25</v>
      </c>
      <c r="N38" s="2">
        <f t="shared" si="4"/>
        <v>6</v>
      </c>
      <c r="O38" s="2">
        <f t="shared" si="5"/>
        <v>9.25</v>
      </c>
      <c r="P38" t="s">
        <v>23</v>
      </c>
      <c r="Q38" t="s">
        <v>42</v>
      </c>
    </row>
    <row r="39" spans="1:17" x14ac:dyDescent="0.25">
      <c r="A39" t="s">
        <v>20</v>
      </c>
      <c r="B39" t="s">
        <v>73</v>
      </c>
      <c r="C39" t="s">
        <v>53</v>
      </c>
      <c r="D39">
        <v>2025</v>
      </c>
      <c r="E39" t="s">
        <v>17</v>
      </c>
      <c r="F39" s="2">
        <v>7.4</v>
      </c>
      <c r="G39" s="2">
        <v>10</v>
      </c>
      <c r="H39" s="2">
        <f t="shared" si="0"/>
        <v>8.6999999999999993</v>
      </c>
      <c r="I39" s="2">
        <v>8</v>
      </c>
      <c r="J39" s="2">
        <f t="shared" si="1"/>
        <v>8</v>
      </c>
      <c r="K39" s="2">
        <v>5.3</v>
      </c>
      <c r="L39" s="2">
        <f t="shared" si="2"/>
        <v>8.35</v>
      </c>
      <c r="M39" s="2">
        <f t="shared" si="3"/>
        <v>3.34</v>
      </c>
      <c r="N39" s="2">
        <f t="shared" si="4"/>
        <v>3.1799999999999997</v>
      </c>
      <c r="O39" s="2">
        <f t="shared" si="5"/>
        <v>6.52</v>
      </c>
      <c r="P39" t="s">
        <v>23</v>
      </c>
      <c r="Q39" t="s">
        <v>42</v>
      </c>
    </row>
    <row r="40" spans="1:17" x14ac:dyDescent="0.25">
      <c r="A40" t="s">
        <v>20</v>
      </c>
      <c r="B40" t="s">
        <v>70</v>
      </c>
      <c r="C40" t="s">
        <v>34</v>
      </c>
      <c r="D40">
        <v>2024</v>
      </c>
      <c r="E40" t="s">
        <v>17</v>
      </c>
      <c r="F40" s="2">
        <v>10</v>
      </c>
      <c r="G40" s="2">
        <v>10</v>
      </c>
      <c r="H40" s="2">
        <f t="shared" si="0"/>
        <v>10</v>
      </c>
      <c r="I40" s="2">
        <v>9.5</v>
      </c>
      <c r="J40" s="2">
        <f t="shared" si="1"/>
        <v>9.5</v>
      </c>
      <c r="K40" s="2">
        <v>9.4499999999999993</v>
      </c>
      <c r="L40" s="2">
        <f t="shared" si="2"/>
        <v>9.75</v>
      </c>
      <c r="M40" s="2">
        <f t="shared" si="3"/>
        <v>3.9000000000000004</v>
      </c>
      <c r="N40" s="2">
        <f t="shared" si="4"/>
        <v>5.669999999999999</v>
      </c>
      <c r="O40" s="2">
        <f t="shared" si="5"/>
        <v>9.57</v>
      </c>
      <c r="P40" t="s">
        <v>26</v>
      </c>
      <c r="Q40" t="s">
        <v>35</v>
      </c>
    </row>
    <row r="41" spans="1:17" x14ac:dyDescent="0.25">
      <c r="A41" t="s">
        <v>20</v>
      </c>
      <c r="B41" t="s">
        <v>68</v>
      </c>
      <c r="C41" t="s">
        <v>16</v>
      </c>
      <c r="D41">
        <v>2025</v>
      </c>
      <c r="E41" t="s">
        <v>17</v>
      </c>
      <c r="F41" s="2">
        <v>4.5</v>
      </c>
      <c r="G41" s="2">
        <v>10</v>
      </c>
      <c r="H41" s="2">
        <f t="shared" si="0"/>
        <v>7.25</v>
      </c>
      <c r="I41" s="2">
        <v>8</v>
      </c>
      <c r="J41" s="2">
        <f t="shared" si="1"/>
        <v>8</v>
      </c>
      <c r="K41" s="2">
        <v>8.8000000000000007</v>
      </c>
      <c r="L41" s="2">
        <f t="shared" si="2"/>
        <v>7.625</v>
      </c>
      <c r="M41" s="2">
        <f t="shared" si="3"/>
        <v>3.05</v>
      </c>
      <c r="N41" s="2">
        <f t="shared" si="4"/>
        <v>5.28</v>
      </c>
      <c r="O41" s="2">
        <f t="shared" si="5"/>
        <v>8.33</v>
      </c>
      <c r="P41" t="s">
        <v>18</v>
      </c>
      <c r="Q41" t="s">
        <v>19</v>
      </c>
    </row>
    <row r="42" spans="1:17" x14ac:dyDescent="0.25">
      <c r="A42" t="s">
        <v>15</v>
      </c>
      <c r="B42" t="s">
        <v>74</v>
      </c>
      <c r="C42" t="s">
        <v>48</v>
      </c>
      <c r="D42">
        <v>2024</v>
      </c>
      <c r="E42" t="s">
        <v>17</v>
      </c>
      <c r="F42" s="2">
        <v>10</v>
      </c>
      <c r="G42" s="2">
        <v>10</v>
      </c>
      <c r="H42" s="2">
        <f t="shared" si="0"/>
        <v>10</v>
      </c>
      <c r="I42" s="2">
        <v>9</v>
      </c>
      <c r="J42" s="2">
        <f t="shared" si="1"/>
        <v>9</v>
      </c>
      <c r="K42" s="2">
        <v>9.6199999999999992</v>
      </c>
      <c r="L42" s="2">
        <f t="shared" si="2"/>
        <v>9.5</v>
      </c>
      <c r="M42" s="2">
        <f t="shared" si="3"/>
        <v>3.8</v>
      </c>
      <c r="N42" s="2">
        <f t="shared" si="4"/>
        <v>5.7719999999999994</v>
      </c>
      <c r="O42" s="2">
        <f t="shared" si="5"/>
        <v>9.5719999999999992</v>
      </c>
      <c r="P42" t="s">
        <v>18</v>
      </c>
      <c r="Q42" t="s">
        <v>47</v>
      </c>
    </row>
    <row r="43" spans="1:17" x14ac:dyDescent="0.25">
      <c r="A43" t="s">
        <v>15</v>
      </c>
      <c r="B43" t="s">
        <v>82</v>
      </c>
      <c r="C43" t="s">
        <v>54</v>
      </c>
      <c r="D43">
        <v>2025</v>
      </c>
      <c r="E43" t="s">
        <v>17</v>
      </c>
      <c r="F43" s="2">
        <v>8.5</v>
      </c>
      <c r="G43" s="2">
        <v>10</v>
      </c>
      <c r="H43" s="2">
        <f t="shared" si="0"/>
        <v>9.25</v>
      </c>
      <c r="I43" s="2">
        <v>8</v>
      </c>
      <c r="J43" s="2">
        <f t="shared" si="1"/>
        <v>8</v>
      </c>
      <c r="K43" s="2">
        <v>6.3</v>
      </c>
      <c r="L43" s="2">
        <f t="shared" si="2"/>
        <v>8.625</v>
      </c>
      <c r="M43" s="2">
        <f t="shared" si="3"/>
        <v>3.4499999999999997</v>
      </c>
      <c r="N43" s="2">
        <f t="shared" si="4"/>
        <v>3.7800000000000002</v>
      </c>
      <c r="O43" s="2">
        <f t="shared" si="5"/>
        <v>7.23</v>
      </c>
      <c r="P43" t="s">
        <v>23</v>
      </c>
      <c r="Q43" t="s">
        <v>55</v>
      </c>
    </row>
    <row r="44" spans="1:17" x14ac:dyDescent="0.25">
      <c r="A44" t="s">
        <v>15</v>
      </c>
      <c r="B44" t="s">
        <v>77</v>
      </c>
      <c r="C44" t="s">
        <v>43</v>
      </c>
      <c r="D44">
        <v>2025</v>
      </c>
      <c r="E44" t="s">
        <v>17</v>
      </c>
      <c r="F44" s="2">
        <v>8.1999999999999993</v>
      </c>
      <c r="G44" s="2">
        <v>10</v>
      </c>
      <c r="H44" s="2">
        <f t="shared" si="0"/>
        <v>9.1</v>
      </c>
      <c r="I44" s="2">
        <v>4</v>
      </c>
      <c r="J44" s="2">
        <f t="shared" si="1"/>
        <v>4</v>
      </c>
      <c r="K44" s="2">
        <v>7.77</v>
      </c>
      <c r="L44" s="2">
        <f t="shared" si="2"/>
        <v>6.55</v>
      </c>
      <c r="M44" s="2">
        <f t="shared" si="3"/>
        <v>2.62</v>
      </c>
      <c r="N44" s="2">
        <f t="shared" si="4"/>
        <v>4.661999999999999</v>
      </c>
      <c r="O44" s="2">
        <f t="shared" si="5"/>
        <v>7.2819999999999991</v>
      </c>
      <c r="P44" t="s">
        <v>18</v>
      </c>
      <c r="Q44" t="s">
        <v>44</v>
      </c>
    </row>
    <row r="45" spans="1:17" x14ac:dyDescent="0.25">
      <c r="A45" t="s">
        <v>20</v>
      </c>
      <c r="B45" s="1" t="s">
        <v>76</v>
      </c>
      <c r="C45" s="1" t="s">
        <v>56</v>
      </c>
      <c r="D45">
        <v>2024</v>
      </c>
      <c r="E45" t="s">
        <v>17</v>
      </c>
      <c r="F45" s="2">
        <v>7</v>
      </c>
      <c r="G45" s="2">
        <v>10</v>
      </c>
      <c r="H45" s="2">
        <f t="shared" si="0"/>
        <v>8.5</v>
      </c>
      <c r="I45" s="2">
        <v>7</v>
      </c>
      <c r="J45" s="2">
        <f t="shared" si="1"/>
        <v>7</v>
      </c>
      <c r="K45" s="2">
        <v>7.65</v>
      </c>
      <c r="L45" s="2">
        <f t="shared" si="2"/>
        <v>7.75</v>
      </c>
      <c r="M45" s="2">
        <f t="shared" si="3"/>
        <v>3.1</v>
      </c>
      <c r="N45" s="2">
        <f t="shared" si="4"/>
        <v>4.59</v>
      </c>
      <c r="O45" s="2">
        <f t="shared" si="5"/>
        <v>7.6899999999999995</v>
      </c>
      <c r="P45" t="s">
        <v>18</v>
      </c>
      <c r="Q45" t="s">
        <v>31</v>
      </c>
    </row>
    <row r="46" spans="1:17" x14ac:dyDescent="0.25">
      <c r="A46" t="s">
        <v>15</v>
      </c>
      <c r="B46" t="s">
        <v>77</v>
      </c>
      <c r="C46" t="s">
        <v>57</v>
      </c>
      <c r="D46">
        <v>2024</v>
      </c>
      <c r="E46" t="s">
        <v>17</v>
      </c>
      <c r="F46" s="2">
        <v>10</v>
      </c>
      <c r="G46" s="2">
        <v>10</v>
      </c>
      <c r="H46" s="2">
        <f t="shared" si="0"/>
        <v>10</v>
      </c>
      <c r="I46" s="2">
        <v>0</v>
      </c>
      <c r="J46" s="2">
        <f t="shared" si="1"/>
        <v>0</v>
      </c>
      <c r="K46" s="2">
        <v>7.14</v>
      </c>
      <c r="L46" s="2">
        <f t="shared" si="2"/>
        <v>5</v>
      </c>
      <c r="M46" s="2">
        <f t="shared" si="3"/>
        <v>2</v>
      </c>
      <c r="N46" s="2">
        <f t="shared" si="4"/>
        <v>4.2839999999999998</v>
      </c>
      <c r="O46" s="2">
        <f t="shared" si="5"/>
        <v>6.2839999999999998</v>
      </c>
      <c r="P46" t="s">
        <v>18</v>
      </c>
      <c r="Q46" t="s">
        <v>44</v>
      </c>
    </row>
    <row r="47" spans="1:17" x14ac:dyDescent="0.25">
      <c r="A47" t="s">
        <v>15</v>
      </c>
      <c r="B47" s="1" t="s">
        <v>68</v>
      </c>
      <c r="C47" s="1" t="s">
        <v>16</v>
      </c>
      <c r="D47">
        <v>2024</v>
      </c>
      <c r="E47" t="s">
        <v>22</v>
      </c>
      <c r="F47" s="2">
        <v>10</v>
      </c>
      <c r="G47" s="2">
        <v>10</v>
      </c>
      <c r="H47" s="2">
        <f t="shared" si="0"/>
        <v>10</v>
      </c>
      <c r="I47" s="2">
        <v>10</v>
      </c>
      <c r="J47" s="2">
        <f t="shared" si="1"/>
        <v>10</v>
      </c>
      <c r="K47" s="2">
        <v>10</v>
      </c>
      <c r="L47" s="2">
        <f t="shared" si="2"/>
        <v>10</v>
      </c>
      <c r="M47" s="2">
        <f t="shared" si="3"/>
        <v>4</v>
      </c>
      <c r="N47" s="2">
        <f t="shared" si="4"/>
        <v>6</v>
      </c>
      <c r="O47" s="2">
        <f t="shared" si="5"/>
        <v>10</v>
      </c>
      <c r="P47" t="s">
        <v>18</v>
      </c>
      <c r="Q47" t="s">
        <v>19</v>
      </c>
    </row>
    <row r="48" spans="1:17" x14ac:dyDescent="0.25">
      <c r="A48" t="s">
        <v>20</v>
      </c>
      <c r="B48" t="s">
        <v>75</v>
      </c>
      <c r="C48" t="s">
        <v>51</v>
      </c>
      <c r="D48">
        <v>2025</v>
      </c>
      <c r="E48" t="s">
        <v>22</v>
      </c>
      <c r="F48" s="2">
        <v>10</v>
      </c>
      <c r="G48" s="2">
        <v>10</v>
      </c>
      <c r="H48" s="2">
        <f t="shared" si="0"/>
        <v>10</v>
      </c>
      <c r="I48" s="2">
        <v>9.5</v>
      </c>
      <c r="J48" s="2">
        <f t="shared" si="1"/>
        <v>9.5</v>
      </c>
      <c r="K48" s="2">
        <v>10</v>
      </c>
      <c r="L48" s="2">
        <f t="shared" si="2"/>
        <v>9.75</v>
      </c>
      <c r="M48" s="2">
        <f t="shared" si="3"/>
        <v>3.9000000000000004</v>
      </c>
      <c r="N48" s="2">
        <f t="shared" si="4"/>
        <v>6</v>
      </c>
      <c r="O48" s="2">
        <f t="shared" si="5"/>
        <v>9.9</v>
      </c>
      <c r="P48" t="s">
        <v>26</v>
      </c>
      <c r="Q48" t="s">
        <v>29</v>
      </c>
    </row>
    <row r="49" spans="1:17" x14ac:dyDescent="0.25">
      <c r="A49" t="s">
        <v>15</v>
      </c>
      <c r="B49" s="1" t="s">
        <v>74</v>
      </c>
      <c r="C49" s="1" t="s">
        <v>46</v>
      </c>
      <c r="D49">
        <v>2024</v>
      </c>
      <c r="E49" t="s">
        <v>22</v>
      </c>
      <c r="F49" s="2">
        <v>10</v>
      </c>
      <c r="G49" s="2">
        <v>10</v>
      </c>
      <c r="H49" s="2">
        <f t="shared" si="0"/>
        <v>10</v>
      </c>
      <c r="I49" s="2">
        <v>9</v>
      </c>
      <c r="J49" s="2">
        <f t="shared" si="1"/>
        <v>9</v>
      </c>
      <c r="K49" s="2">
        <v>9.08</v>
      </c>
      <c r="L49" s="2">
        <f t="shared" si="2"/>
        <v>9.5</v>
      </c>
      <c r="M49" s="2">
        <f t="shared" si="3"/>
        <v>3.8</v>
      </c>
      <c r="N49" s="2">
        <f t="shared" si="4"/>
        <v>5.4480000000000004</v>
      </c>
      <c r="O49" s="2">
        <f t="shared" si="5"/>
        <v>9.2480000000000011</v>
      </c>
      <c r="P49" t="s">
        <v>18</v>
      </c>
      <c r="Q49" t="s">
        <v>47</v>
      </c>
    </row>
    <row r="50" spans="1:17" x14ac:dyDescent="0.25">
      <c r="A50" t="s">
        <v>20</v>
      </c>
      <c r="B50" t="s">
        <v>74</v>
      </c>
      <c r="C50" t="s">
        <v>48</v>
      </c>
      <c r="D50">
        <v>2025</v>
      </c>
      <c r="E50" t="s">
        <v>17</v>
      </c>
      <c r="F50" s="2">
        <v>10</v>
      </c>
      <c r="G50" s="2">
        <v>10</v>
      </c>
      <c r="H50" s="2">
        <f t="shared" si="0"/>
        <v>10</v>
      </c>
      <c r="I50" s="2">
        <v>10</v>
      </c>
      <c r="J50" s="2">
        <f t="shared" si="1"/>
        <v>10</v>
      </c>
      <c r="K50" s="2">
        <v>9.25</v>
      </c>
      <c r="L50" s="2">
        <f t="shared" si="2"/>
        <v>10</v>
      </c>
      <c r="M50" s="2">
        <f t="shared" si="3"/>
        <v>4</v>
      </c>
      <c r="N50" s="2">
        <f t="shared" si="4"/>
        <v>5.55</v>
      </c>
      <c r="O50" s="2">
        <f t="shared" si="5"/>
        <v>9.5500000000000007</v>
      </c>
      <c r="P50" t="s">
        <v>18</v>
      </c>
      <c r="Q50" t="s">
        <v>47</v>
      </c>
    </row>
    <row r="51" spans="1:17" x14ac:dyDescent="0.25">
      <c r="A51" t="s">
        <v>20</v>
      </c>
      <c r="B51" t="s">
        <v>68</v>
      </c>
      <c r="C51" t="s">
        <v>16</v>
      </c>
      <c r="D51">
        <v>2025</v>
      </c>
      <c r="E51" t="s">
        <v>17</v>
      </c>
      <c r="F51" s="2">
        <v>4.5</v>
      </c>
      <c r="G51" s="2">
        <v>10</v>
      </c>
      <c r="H51" s="2">
        <f t="shared" si="0"/>
        <v>7.25</v>
      </c>
      <c r="I51" s="2">
        <v>8</v>
      </c>
      <c r="J51" s="2">
        <f t="shared" si="1"/>
        <v>8</v>
      </c>
      <c r="K51" s="2">
        <v>6.55</v>
      </c>
      <c r="L51" s="2">
        <f t="shared" si="2"/>
        <v>7.625</v>
      </c>
      <c r="M51" s="2">
        <f t="shared" si="3"/>
        <v>3.05</v>
      </c>
      <c r="N51" s="2">
        <f t="shared" si="4"/>
        <v>3.93</v>
      </c>
      <c r="O51" s="2">
        <f t="shared" si="5"/>
        <v>6.98</v>
      </c>
      <c r="P51" t="s">
        <v>18</v>
      </c>
      <c r="Q51" t="s">
        <v>19</v>
      </c>
    </row>
    <row r="52" spans="1:17" x14ac:dyDescent="0.25">
      <c r="A52" t="s">
        <v>20</v>
      </c>
      <c r="B52" t="s">
        <v>78</v>
      </c>
      <c r="C52" t="s">
        <v>58</v>
      </c>
      <c r="D52">
        <v>2024</v>
      </c>
      <c r="E52" t="s">
        <v>17</v>
      </c>
      <c r="F52" s="2">
        <v>10</v>
      </c>
      <c r="G52" s="2">
        <v>10</v>
      </c>
      <c r="H52" s="2">
        <f t="shared" si="0"/>
        <v>10</v>
      </c>
      <c r="I52" s="2">
        <v>9.5</v>
      </c>
      <c r="J52" s="2">
        <f t="shared" si="1"/>
        <v>9.5</v>
      </c>
      <c r="K52" s="2">
        <v>9.25</v>
      </c>
      <c r="L52" s="2">
        <f t="shared" si="2"/>
        <v>9.75</v>
      </c>
      <c r="M52" s="2">
        <f t="shared" si="3"/>
        <v>3.9000000000000004</v>
      </c>
      <c r="N52" s="2">
        <f t="shared" si="4"/>
        <v>5.55</v>
      </c>
      <c r="O52" s="2">
        <f t="shared" si="5"/>
        <v>9.4499999999999993</v>
      </c>
      <c r="P52" t="s">
        <v>26</v>
      </c>
      <c r="Q52" t="s">
        <v>33</v>
      </c>
    </row>
    <row r="53" spans="1:17" x14ac:dyDescent="0.25">
      <c r="A53" t="s">
        <v>20</v>
      </c>
      <c r="B53" s="1" t="s">
        <v>76</v>
      </c>
      <c r="C53" s="1" t="s">
        <v>56</v>
      </c>
      <c r="D53">
        <v>2024</v>
      </c>
      <c r="E53" t="s">
        <v>17</v>
      </c>
      <c r="F53" s="2">
        <v>10</v>
      </c>
      <c r="G53" s="2">
        <v>10</v>
      </c>
      <c r="H53" s="2">
        <f t="shared" si="0"/>
        <v>10</v>
      </c>
      <c r="I53" s="2">
        <v>8</v>
      </c>
      <c r="J53" s="2">
        <f t="shared" si="1"/>
        <v>8</v>
      </c>
      <c r="K53" s="2">
        <v>7.55</v>
      </c>
      <c r="L53" s="2">
        <f t="shared" si="2"/>
        <v>9</v>
      </c>
      <c r="M53" s="2">
        <f t="shared" si="3"/>
        <v>3.5999999999999996</v>
      </c>
      <c r="N53" s="2">
        <f t="shared" si="4"/>
        <v>4.53</v>
      </c>
      <c r="O53" s="2">
        <f t="shared" si="5"/>
        <v>8.129999999999999</v>
      </c>
      <c r="P53" t="s">
        <v>18</v>
      </c>
      <c r="Q53" t="s">
        <v>31</v>
      </c>
    </row>
    <row r="54" spans="1:17" x14ac:dyDescent="0.25">
      <c r="A54" t="s">
        <v>20</v>
      </c>
      <c r="B54" t="s">
        <v>69</v>
      </c>
      <c r="C54" t="s">
        <v>59</v>
      </c>
      <c r="D54">
        <v>2024</v>
      </c>
      <c r="E54" t="s">
        <v>17</v>
      </c>
      <c r="F54" s="2">
        <v>7</v>
      </c>
      <c r="G54" s="2">
        <v>10</v>
      </c>
      <c r="H54" s="2">
        <f t="shared" si="0"/>
        <v>8.5</v>
      </c>
      <c r="I54" s="2">
        <v>7</v>
      </c>
      <c r="J54" s="2">
        <f t="shared" si="1"/>
        <v>7</v>
      </c>
      <c r="K54" s="2">
        <v>9</v>
      </c>
      <c r="L54" s="2">
        <f t="shared" si="2"/>
        <v>7.75</v>
      </c>
      <c r="M54" s="2">
        <f t="shared" si="3"/>
        <v>3.1</v>
      </c>
      <c r="N54" s="2">
        <f t="shared" si="4"/>
        <v>5.3999999999999995</v>
      </c>
      <c r="O54" s="2">
        <f t="shared" si="5"/>
        <v>8.5</v>
      </c>
      <c r="P54" t="s">
        <v>23</v>
      </c>
      <c r="Q54" t="s">
        <v>24</v>
      </c>
    </row>
    <row r="55" spans="1:17" x14ac:dyDescent="0.25">
      <c r="A55" t="s">
        <v>15</v>
      </c>
      <c r="B55" t="s">
        <v>78</v>
      </c>
      <c r="C55" t="s">
        <v>58</v>
      </c>
      <c r="D55">
        <v>2024</v>
      </c>
      <c r="E55" t="s">
        <v>17</v>
      </c>
      <c r="F55" s="2">
        <v>10</v>
      </c>
      <c r="G55" s="2">
        <v>10</v>
      </c>
      <c r="H55" s="2">
        <f t="shared" si="0"/>
        <v>10</v>
      </c>
      <c r="I55" s="2">
        <v>10</v>
      </c>
      <c r="J55" s="2">
        <f t="shared" si="1"/>
        <v>10</v>
      </c>
      <c r="K55" s="2">
        <v>9.25</v>
      </c>
      <c r="L55" s="2">
        <f t="shared" si="2"/>
        <v>10</v>
      </c>
      <c r="M55" s="2">
        <f t="shared" si="3"/>
        <v>4</v>
      </c>
      <c r="N55" s="2">
        <f t="shared" si="4"/>
        <v>5.55</v>
      </c>
      <c r="O55" s="2">
        <f t="shared" si="5"/>
        <v>9.5500000000000007</v>
      </c>
      <c r="P55" t="s">
        <v>26</v>
      </c>
      <c r="Q55" t="s">
        <v>33</v>
      </c>
    </row>
    <row r="56" spans="1:17" x14ac:dyDescent="0.25">
      <c r="A56" t="s">
        <v>20</v>
      </c>
      <c r="B56" t="s">
        <v>80</v>
      </c>
      <c r="C56" t="s">
        <v>25</v>
      </c>
      <c r="D56">
        <v>2025</v>
      </c>
      <c r="E56" t="s">
        <v>17</v>
      </c>
      <c r="F56" s="2">
        <v>8.8000000000000007</v>
      </c>
      <c r="G56" s="2">
        <v>10</v>
      </c>
      <c r="H56" s="2">
        <f t="shared" si="0"/>
        <v>9.4</v>
      </c>
      <c r="I56" s="2">
        <v>7</v>
      </c>
      <c r="J56" s="2">
        <f t="shared" si="1"/>
        <v>7</v>
      </c>
      <c r="K56" s="2">
        <v>10</v>
      </c>
      <c r="L56" s="2">
        <f t="shared" si="2"/>
        <v>8.1999999999999993</v>
      </c>
      <c r="M56" s="2">
        <f t="shared" si="3"/>
        <v>3.2799999999999994</v>
      </c>
      <c r="N56" s="2">
        <f t="shared" si="4"/>
        <v>6</v>
      </c>
      <c r="O56" s="2">
        <f t="shared" si="5"/>
        <v>9.2799999999999994</v>
      </c>
      <c r="P56" t="s">
        <v>26</v>
      </c>
      <c r="Q56" t="s">
        <v>27</v>
      </c>
    </row>
    <row r="57" spans="1:17" x14ac:dyDescent="0.25">
      <c r="A57" t="s">
        <v>15</v>
      </c>
      <c r="B57" s="1" t="s">
        <v>69</v>
      </c>
      <c r="C57" s="1" t="s">
        <v>59</v>
      </c>
      <c r="D57">
        <v>2025</v>
      </c>
      <c r="E57" t="s">
        <v>17</v>
      </c>
      <c r="F57" s="2">
        <v>7.3</v>
      </c>
      <c r="G57" s="2">
        <v>10</v>
      </c>
      <c r="H57" s="2">
        <f t="shared" si="0"/>
        <v>8.65</v>
      </c>
      <c r="I57" s="2">
        <v>4</v>
      </c>
      <c r="J57" s="2">
        <f t="shared" si="1"/>
        <v>4</v>
      </c>
      <c r="K57" s="2">
        <v>7.63</v>
      </c>
      <c r="L57" s="2">
        <f t="shared" si="2"/>
        <v>6.3250000000000002</v>
      </c>
      <c r="M57" s="2">
        <f t="shared" si="3"/>
        <v>2.5300000000000002</v>
      </c>
      <c r="N57" s="2">
        <f t="shared" si="4"/>
        <v>4.5779999999999994</v>
      </c>
      <c r="O57" s="2">
        <f t="shared" si="5"/>
        <v>7.1079999999999997</v>
      </c>
      <c r="P57" t="s">
        <v>23</v>
      </c>
      <c r="Q57" t="s">
        <v>24</v>
      </c>
    </row>
    <row r="58" spans="1:17" x14ac:dyDescent="0.25">
      <c r="A58" t="s">
        <v>20</v>
      </c>
      <c r="B58" t="s">
        <v>71</v>
      </c>
      <c r="C58" t="s">
        <v>36</v>
      </c>
      <c r="D58">
        <v>2025</v>
      </c>
      <c r="E58" t="s">
        <v>17</v>
      </c>
      <c r="F58" s="2">
        <v>8.8000000000000007</v>
      </c>
      <c r="G58" s="2">
        <v>10</v>
      </c>
      <c r="H58" s="2">
        <f t="shared" si="0"/>
        <v>9.4</v>
      </c>
      <c r="I58" s="2">
        <v>5</v>
      </c>
      <c r="J58" s="2">
        <f t="shared" si="1"/>
        <v>5</v>
      </c>
      <c r="K58" s="2">
        <v>7</v>
      </c>
      <c r="L58" s="2">
        <f t="shared" si="2"/>
        <v>7.2</v>
      </c>
      <c r="M58" s="2">
        <f t="shared" si="3"/>
        <v>2.8800000000000003</v>
      </c>
      <c r="N58" s="2">
        <f t="shared" si="4"/>
        <v>4.2</v>
      </c>
      <c r="O58" s="2">
        <f t="shared" si="5"/>
        <v>7.08</v>
      </c>
      <c r="P58" t="s">
        <v>37</v>
      </c>
      <c r="Q58" t="s">
        <v>38</v>
      </c>
    </row>
    <row r="59" spans="1:17" x14ac:dyDescent="0.25">
      <c r="A59" t="s">
        <v>15</v>
      </c>
      <c r="B59" s="1" t="s">
        <v>76</v>
      </c>
      <c r="C59" s="1" t="s">
        <v>30</v>
      </c>
      <c r="D59">
        <v>2025</v>
      </c>
      <c r="E59" t="s">
        <v>17</v>
      </c>
      <c r="F59" s="2">
        <v>9.1</v>
      </c>
      <c r="G59" s="2">
        <v>10</v>
      </c>
      <c r="H59" s="2">
        <f t="shared" si="0"/>
        <v>9.5500000000000007</v>
      </c>
      <c r="I59" s="2">
        <v>7</v>
      </c>
      <c r="J59" s="2">
        <f t="shared" si="1"/>
        <v>7</v>
      </c>
      <c r="K59" s="2">
        <v>9.26</v>
      </c>
      <c r="L59" s="2">
        <f t="shared" si="2"/>
        <v>8.2750000000000004</v>
      </c>
      <c r="M59" s="2">
        <f t="shared" si="3"/>
        <v>3.31</v>
      </c>
      <c r="N59" s="2">
        <f t="shared" si="4"/>
        <v>5.556</v>
      </c>
      <c r="O59" s="2">
        <f t="shared" si="5"/>
        <v>8.8659999999999997</v>
      </c>
      <c r="P59" t="s">
        <v>18</v>
      </c>
      <c r="Q59" t="s">
        <v>31</v>
      </c>
    </row>
    <row r="60" spans="1:17" x14ac:dyDescent="0.25">
      <c r="A60" t="s">
        <v>20</v>
      </c>
      <c r="B60" s="1" t="s">
        <v>79</v>
      </c>
      <c r="C60" s="1" t="s">
        <v>60</v>
      </c>
      <c r="D60">
        <v>2025</v>
      </c>
      <c r="E60" t="s">
        <v>17</v>
      </c>
      <c r="F60" s="2">
        <v>10</v>
      </c>
      <c r="G60" s="2">
        <v>10</v>
      </c>
      <c r="H60" s="2">
        <f t="shared" si="0"/>
        <v>10</v>
      </c>
      <c r="I60" s="2">
        <v>9.5</v>
      </c>
      <c r="J60" s="2">
        <f t="shared" si="1"/>
        <v>9.5</v>
      </c>
      <c r="K60" s="2">
        <v>10</v>
      </c>
      <c r="L60" s="2">
        <f t="shared" si="2"/>
        <v>9.75</v>
      </c>
      <c r="M60" s="2">
        <f t="shared" si="3"/>
        <v>3.9000000000000004</v>
      </c>
      <c r="N60" s="2">
        <f t="shared" si="4"/>
        <v>6</v>
      </c>
      <c r="O60" s="2">
        <f t="shared" si="5"/>
        <v>9.9</v>
      </c>
      <c r="P60" t="s">
        <v>37</v>
      </c>
      <c r="Q60" t="s">
        <v>61</v>
      </c>
    </row>
    <row r="61" spans="1:17" x14ac:dyDescent="0.25">
      <c r="A61" t="s">
        <v>20</v>
      </c>
      <c r="B61" s="1" t="s">
        <v>68</v>
      </c>
      <c r="C61" s="1" t="s">
        <v>16</v>
      </c>
      <c r="D61">
        <v>2024</v>
      </c>
      <c r="E61" t="s">
        <v>17</v>
      </c>
      <c r="F61" s="2">
        <v>9.5</v>
      </c>
      <c r="G61" s="2">
        <v>10</v>
      </c>
      <c r="H61" s="2">
        <f t="shared" si="0"/>
        <v>9.75</v>
      </c>
      <c r="I61" s="2">
        <v>5</v>
      </c>
      <c r="J61" s="2">
        <f t="shared" si="1"/>
        <v>5</v>
      </c>
      <c r="K61" s="2">
        <v>5.58</v>
      </c>
      <c r="L61" s="2">
        <f t="shared" si="2"/>
        <v>7.375</v>
      </c>
      <c r="M61" s="2">
        <f t="shared" si="3"/>
        <v>2.9499999999999997</v>
      </c>
      <c r="N61" s="2">
        <f t="shared" si="4"/>
        <v>3.3480000000000003</v>
      </c>
      <c r="O61" s="2">
        <f t="shared" si="5"/>
        <v>6.298</v>
      </c>
      <c r="P61" t="s">
        <v>18</v>
      </c>
      <c r="Q61" t="s">
        <v>19</v>
      </c>
    </row>
    <row r="62" spans="1:17" x14ac:dyDescent="0.25">
      <c r="A62" t="s">
        <v>15</v>
      </c>
      <c r="B62" t="s">
        <v>79</v>
      </c>
      <c r="C62" t="s">
        <v>60</v>
      </c>
      <c r="D62">
        <v>2024</v>
      </c>
      <c r="E62" t="s">
        <v>17</v>
      </c>
      <c r="F62" s="2">
        <v>10</v>
      </c>
      <c r="G62" s="2">
        <v>10</v>
      </c>
      <c r="H62" s="2">
        <f t="shared" si="0"/>
        <v>10</v>
      </c>
      <c r="I62" s="2">
        <v>0</v>
      </c>
      <c r="J62" s="2">
        <f t="shared" si="1"/>
        <v>0</v>
      </c>
      <c r="K62" s="2">
        <v>5.14</v>
      </c>
      <c r="L62" s="2">
        <f t="shared" si="2"/>
        <v>5</v>
      </c>
      <c r="M62" s="2">
        <f t="shared" si="3"/>
        <v>2</v>
      </c>
      <c r="N62" s="2">
        <f t="shared" si="4"/>
        <v>3.0839999999999996</v>
      </c>
      <c r="O62" s="2">
        <f t="shared" si="5"/>
        <v>5.0839999999999996</v>
      </c>
      <c r="P62" t="s">
        <v>37</v>
      </c>
      <c r="Q62" t="s">
        <v>61</v>
      </c>
    </row>
    <row r="63" spans="1:17" x14ac:dyDescent="0.25">
      <c r="A63" t="s">
        <v>20</v>
      </c>
      <c r="B63" t="s">
        <v>69</v>
      </c>
      <c r="C63" t="s">
        <v>21</v>
      </c>
      <c r="D63">
        <v>2024</v>
      </c>
      <c r="E63" t="s">
        <v>17</v>
      </c>
      <c r="F63" s="2">
        <v>10</v>
      </c>
      <c r="G63" s="2">
        <v>10</v>
      </c>
      <c r="H63" s="2">
        <f t="shared" si="0"/>
        <v>10</v>
      </c>
      <c r="I63" s="2">
        <v>10</v>
      </c>
      <c r="J63" s="2">
        <f t="shared" si="1"/>
        <v>10</v>
      </c>
      <c r="K63" s="2">
        <v>9.5</v>
      </c>
      <c r="L63" s="2">
        <f t="shared" si="2"/>
        <v>10</v>
      </c>
      <c r="M63" s="2">
        <f t="shared" si="3"/>
        <v>4</v>
      </c>
      <c r="N63" s="2">
        <f t="shared" si="4"/>
        <v>5.7</v>
      </c>
      <c r="O63" s="2">
        <f t="shared" si="5"/>
        <v>9.6999999999999993</v>
      </c>
      <c r="P63" t="s">
        <v>23</v>
      </c>
      <c r="Q63" t="s">
        <v>24</v>
      </c>
    </row>
    <row r="64" spans="1:17" x14ac:dyDescent="0.25">
      <c r="A64" t="s">
        <v>20</v>
      </c>
      <c r="B64" t="s">
        <v>75</v>
      </c>
      <c r="C64" t="s">
        <v>51</v>
      </c>
      <c r="D64">
        <v>2025</v>
      </c>
      <c r="E64" t="s">
        <v>17</v>
      </c>
      <c r="F64" s="2">
        <v>8.1999999999999993</v>
      </c>
      <c r="G64" s="2">
        <v>10</v>
      </c>
      <c r="H64" s="2">
        <f t="shared" si="0"/>
        <v>9.1</v>
      </c>
      <c r="I64" s="2">
        <v>5</v>
      </c>
      <c r="J64" s="2">
        <f t="shared" si="1"/>
        <v>5</v>
      </c>
      <c r="K64" s="2">
        <v>7.75</v>
      </c>
      <c r="L64" s="2">
        <f t="shared" si="2"/>
        <v>7.05</v>
      </c>
      <c r="M64" s="2">
        <f t="shared" si="3"/>
        <v>2.82</v>
      </c>
      <c r="N64" s="2">
        <f t="shared" si="4"/>
        <v>4.6500000000000004</v>
      </c>
      <c r="O64" s="2">
        <f t="shared" si="5"/>
        <v>7.4700000000000006</v>
      </c>
      <c r="P64" t="s">
        <v>26</v>
      </c>
      <c r="Q64" t="s">
        <v>29</v>
      </c>
    </row>
    <row r="65" spans="1:17" x14ac:dyDescent="0.25">
      <c r="A65" t="s">
        <v>20</v>
      </c>
      <c r="B65" t="s">
        <v>79</v>
      </c>
      <c r="C65" t="s">
        <v>60</v>
      </c>
      <c r="D65">
        <v>2025</v>
      </c>
      <c r="E65" t="s">
        <v>17</v>
      </c>
      <c r="F65" s="2">
        <v>4.5</v>
      </c>
      <c r="G65" s="2">
        <v>10</v>
      </c>
      <c r="H65" s="2">
        <f t="shared" si="0"/>
        <v>7.25</v>
      </c>
      <c r="I65" s="2">
        <v>5</v>
      </c>
      <c r="J65" s="2">
        <f t="shared" si="1"/>
        <v>5</v>
      </c>
      <c r="K65" s="2">
        <v>7.75</v>
      </c>
      <c r="L65" s="2">
        <f t="shared" si="2"/>
        <v>6.125</v>
      </c>
      <c r="M65" s="2">
        <f t="shared" si="3"/>
        <v>2.4500000000000002</v>
      </c>
      <c r="N65" s="2">
        <f t="shared" si="4"/>
        <v>4.6500000000000004</v>
      </c>
      <c r="O65" s="2">
        <f t="shared" si="5"/>
        <v>7.1000000000000005</v>
      </c>
      <c r="P65" t="s">
        <v>37</v>
      </c>
      <c r="Q65" t="s">
        <v>61</v>
      </c>
    </row>
    <row r="66" spans="1:17" x14ac:dyDescent="0.25">
      <c r="A66" t="s">
        <v>15</v>
      </c>
      <c r="B66" s="1" t="s">
        <v>75</v>
      </c>
      <c r="C66" s="1" t="s">
        <v>28</v>
      </c>
      <c r="D66">
        <v>2025</v>
      </c>
      <c r="E66" t="s">
        <v>17</v>
      </c>
      <c r="F66" s="2">
        <v>8.8000000000000007</v>
      </c>
      <c r="G66" s="2">
        <v>9.8000000000000007</v>
      </c>
      <c r="H66" s="2">
        <f t="shared" si="0"/>
        <v>9.3000000000000007</v>
      </c>
      <c r="I66" s="2">
        <v>8</v>
      </c>
      <c r="J66" s="2">
        <f t="shared" si="1"/>
        <v>8</v>
      </c>
      <c r="K66" s="2">
        <v>8.43</v>
      </c>
      <c r="L66" s="2">
        <f t="shared" si="2"/>
        <v>8.65</v>
      </c>
      <c r="M66" s="2">
        <f t="shared" si="3"/>
        <v>3.4600000000000004</v>
      </c>
      <c r="N66" s="2">
        <f t="shared" si="4"/>
        <v>5.0579999999999998</v>
      </c>
      <c r="O66" s="2">
        <f t="shared" si="5"/>
        <v>8.5180000000000007</v>
      </c>
      <c r="P66" t="s">
        <v>26</v>
      </c>
      <c r="Q66" t="s">
        <v>29</v>
      </c>
    </row>
    <row r="67" spans="1:17" x14ac:dyDescent="0.25">
      <c r="A67" t="s">
        <v>15</v>
      </c>
      <c r="B67" t="s">
        <v>76</v>
      </c>
      <c r="C67" t="s">
        <v>30</v>
      </c>
      <c r="D67">
        <v>2024</v>
      </c>
      <c r="E67" t="s">
        <v>17</v>
      </c>
      <c r="F67" s="2">
        <v>10</v>
      </c>
      <c r="G67" s="2">
        <v>10</v>
      </c>
      <c r="H67" s="2">
        <f t="shared" ref="H67:H103" si="6">(F67+G67)/2</f>
        <v>10</v>
      </c>
      <c r="I67" s="2">
        <v>10</v>
      </c>
      <c r="J67" s="2">
        <f t="shared" ref="J67:J103" si="7">I67</f>
        <v>10</v>
      </c>
      <c r="K67" s="2">
        <v>9.06</v>
      </c>
      <c r="L67" s="2">
        <f t="shared" ref="L67:L103" si="8">(H67+J67)/2</f>
        <v>10</v>
      </c>
      <c r="M67" s="2">
        <f t="shared" ref="M67:M103" si="9">L67/100*40</f>
        <v>4</v>
      </c>
      <c r="N67" s="2">
        <f t="shared" ref="N67:N103" si="10">K67/100*60</f>
        <v>5.4359999999999999</v>
      </c>
      <c r="O67" s="2">
        <f t="shared" ref="O67:O103" si="11">M67+N67</f>
        <v>9.4359999999999999</v>
      </c>
      <c r="P67" t="s">
        <v>18</v>
      </c>
      <c r="Q67" t="s">
        <v>31</v>
      </c>
    </row>
    <row r="68" spans="1:17" x14ac:dyDescent="0.25">
      <c r="A68" t="s">
        <v>15</v>
      </c>
      <c r="B68" t="s">
        <v>79</v>
      </c>
      <c r="C68" t="s">
        <v>60</v>
      </c>
      <c r="D68">
        <v>2024</v>
      </c>
      <c r="E68" t="s">
        <v>22</v>
      </c>
      <c r="F68" s="2">
        <v>10</v>
      </c>
      <c r="G68" s="2">
        <v>10</v>
      </c>
      <c r="H68" s="2">
        <f t="shared" si="6"/>
        <v>10</v>
      </c>
      <c r="I68" s="2">
        <v>9</v>
      </c>
      <c r="J68" s="2">
        <f t="shared" si="7"/>
        <v>9</v>
      </c>
      <c r="K68" s="2">
        <v>8.5500000000000007</v>
      </c>
      <c r="L68" s="2">
        <f t="shared" si="8"/>
        <v>9.5</v>
      </c>
      <c r="M68" s="2">
        <f t="shared" si="9"/>
        <v>3.8</v>
      </c>
      <c r="N68" s="2">
        <f t="shared" si="10"/>
        <v>5.1300000000000008</v>
      </c>
      <c r="O68" s="2">
        <f t="shared" si="11"/>
        <v>8.93</v>
      </c>
      <c r="P68" t="s">
        <v>37</v>
      </c>
      <c r="Q68" t="s">
        <v>61</v>
      </c>
    </row>
    <row r="69" spans="1:17" x14ac:dyDescent="0.25">
      <c r="A69" t="s">
        <v>15</v>
      </c>
      <c r="B69" t="s">
        <v>68</v>
      </c>
      <c r="C69" t="s">
        <v>45</v>
      </c>
      <c r="D69">
        <v>2025</v>
      </c>
      <c r="E69" t="s">
        <v>17</v>
      </c>
      <c r="F69" s="2">
        <v>7.3</v>
      </c>
      <c r="G69" s="2">
        <v>10</v>
      </c>
      <c r="H69" s="2">
        <f t="shared" si="6"/>
        <v>8.65</v>
      </c>
      <c r="I69" s="2">
        <v>4</v>
      </c>
      <c r="J69" s="2">
        <f t="shared" si="7"/>
        <v>4</v>
      </c>
      <c r="K69" s="2">
        <v>7.03</v>
      </c>
      <c r="L69" s="2">
        <f t="shared" si="8"/>
        <v>6.3250000000000002</v>
      </c>
      <c r="M69" s="2">
        <f t="shared" si="9"/>
        <v>2.5300000000000002</v>
      </c>
      <c r="N69" s="2">
        <f t="shared" si="10"/>
        <v>4.218</v>
      </c>
      <c r="O69" s="2">
        <f t="shared" si="11"/>
        <v>6.7480000000000002</v>
      </c>
      <c r="P69" t="s">
        <v>18</v>
      </c>
      <c r="Q69" t="s">
        <v>19</v>
      </c>
    </row>
    <row r="70" spans="1:17" x14ac:dyDescent="0.25">
      <c r="A70" t="s">
        <v>15</v>
      </c>
      <c r="B70" t="s">
        <v>77</v>
      </c>
      <c r="C70" t="s">
        <v>43</v>
      </c>
      <c r="D70">
        <v>2025</v>
      </c>
      <c r="E70" t="s">
        <v>17</v>
      </c>
      <c r="F70" s="2">
        <v>6.7</v>
      </c>
      <c r="G70" s="2">
        <v>10</v>
      </c>
      <c r="H70" s="2">
        <f t="shared" si="6"/>
        <v>8.35</v>
      </c>
      <c r="I70" s="2">
        <v>6</v>
      </c>
      <c r="J70" s="2">
        <f t="shared" si="7"/>
        <v>6</v>
      </c>
      <c r="K70" s="2">
        <v>6.66</v>
      </c>
      <c r="L70" s="2">
        <f t="shared" si="8"/>
        <v>7.1749999999999998</v>
      </c>
      <c r="M70" s="2">
        <f t="shared" si="9"/>
        <v>2.8699999999999997</v>
      </c>
      <c r="N70" s="2">
        <f t="shared" si="10"/>
        <v>3.9960000000000004</v>
      </c>
      <c r="O70" s="2">
        <f t="shared" si="11"/>
        <v>6.8659999999999997</v>
      </c>
      <c r="P70" t="s">
        <v>18</v>
      </c>
      <c r="Q70" t="s">
        <v>44</v>
      </c>
    </row>
    <row r="71" spans="1:17" x14ac:dyDescent="0.25">
      <c r="A71" t="s">
        <v>15</v>
      </c>
      <c r="B71" s="1" t="s">
        <v>76</v>
      </c>
      <c r="C71" s="1" t="s">
        <v>56</v>
      </c>
      <c r="D71">
        <v>2025</v>
      </c>
      <c r="E71" t="s">
        <v>17</v>
      </c>
      <c r="F71" s="2">
        <v>10</v>
      </c>
      <c r="G71" s="2">
        <v>10</v>
      </c>
      <c r="H71" s="2">
        <f t="shared" si="6"/>
        <v>10</v>
      </c>
      <c r="I71" s="2">
        <v>7</v>
      </c>
      <c r="J71" s="2">
        <f t="shared" si="7"/>
        <v>7</v>
      </c>
      <c r="K71" s="2">
        <v>9.6999999999999993</v>
      </c>
      <c r="L71" s="2">
        <f t="shared" si="8"/>
        <v>8.5</v>
      </c>
      <c r="M71" s="2">
        <f t="shared" si="9"/>
        <v>3.4000000000000004</v>
      </c>
      <c r="N71" s="2">
        <f t="shared" si="10"/>
        <v>5.8199999999999994</v>
      </c>
      <c r="O71" s="2">
        <f t="shared" si="11"/>
        <v>9.2199999999999989</v>
      </c>
      <c r="P71" t="s">
        <v>18</v>
      </c>
      <c r="Q71" t="s">
        <v>31</v>
      </c>
    </row>
    <row r="72" spans="1:17" x14ac:dyDescent="0.25">
      <c r="A72" t="s">
        <v>15</v>
      </c>
      <c r="B72" s="1" t="s">
        <v>70</v>
      </c>
      <c r="C72" s="1" t="s">
        <v>62</v>
      </c>
      <c r="D72">
        <v>2025</v>
      </c>
      <c r="E72" t="s">
        <v>22</v>
      </c>
      <c r="F72" s="2">
        <v>9.1</v>
      </c>
      <c r="G72" s="2">
        <v>10</v>
      </c>
      <c r="H72" s="2">
        <f t="shared" si="6"/>
        <v>9.5500000000000007</v>
      </c>
      <c r="I72" s="2">
        <v>7</v>
      </c>
      <c r="J72" s="2">
        <f t="shared" si="7"/>
        <v>7</v>
      </c>
      <c r="K72" s="2">
        <v>8.2899999999999991</v>
      </c>
      <c r="L72" s="2">
        <f t="shared" si="8"/>
        <v>8.2750000000000004</v>
      </c>
      <c r="M72" s="2">
        <f t="shared" si="9"/>
        <v>3.31</v>
      </c>
      <c r="N72" s="2">
        <f t="shared" si="10"/>
        <v>4.9739999999999993</v>
      </c>
      <c r="O72" s="2">
        <f t="shared" si="11"/>
        <v>8.2839999999999989</v>
      </c>
      <c r="P72" t="s">
        <v>26</v>
      </c>
      <c r="Q72" t="s">
        <v>35</v>
      </c>
    </row>
    <row r="73" spans="1:17" x14ac:dyDescent="0.25">
      <c r="A73" t="s">
        <v>20</v>
      </c>
      <c r="B73" s="1" t="s">
        <v>76</v>
      </c>
      <c r="C73" s="1" t="s">
        <v>30</v>
      </c>
      <c r="D73">
        <v>2025</v>
      </c>
      <c r="E73" t="s">
        <v>17</v>
      </c>
      <c r="F73" s="2">
        <v>10</v>
      </c>
      <c r="G73" s="2">
        <v>10</v>
      </c>
      <c r="H73" s="2">
        <f t="shared" si="6"/>
        <v>10</v>
      </c>
      <c r="I73" s="2">
        <v>7</v>
      </c>
      <c r="J73" s="2">
        <f t="shared" si="7"/>
        <v>7</v>
      </c>
      <c r="K73" s="2">
        <v>7</v>
      </c>
      <c r="L73" s="2">
        <f t="shared" si="8"/>
        <v>8.5</v>
      </c>
      <c r="M73" s="2">
        <f t="shared" si="9"/>
        <v>3.4000000000000004</v>
      </c>
      <c r="N73" s="2">
        <f t="shared" si="10"/>
        <v>4.2</v>
      </c>
      <c r="O73" s="2">
        <f t="shared" si="11"/>
        <v>7.6000000000000005</v>
      </c>
      <c r="P73" t="s">
        <v>18</v>
      </c>
      <c r="Q73" t="s">
        <v>31</v>
      </c>
    </row>
    <row r="74" spans="1:17" x14ac:dyDescent="0.25">
      <c r="A74" t="s">
        <v>15</v>
      </c>
      <c r="B74" s="1" t="s">
        <v>80</v>
      </c>
      <c r="C74" s="1" t="s">
        <v>63</v>
      </c>
      <c r="D74">
        <v>2025</v>
      </c>
      <c r="E74" t="s">
        <v>17</v>
      </c>
      <c r="F74" s="2">
        <v>7.3</v>
      </c>
      <c r="G74" s="2">
        <v>10</v>
      </c>
      <c r="H74" s="2">
        <f t="shared" si="6"/>
        <v>8.65</v>
      </c>
      <c r="I74" s="2">
        <v>5</v>
      </c>
      <c r="J74" s="2">
        <f t="shared" si="7"/>
        <v>5</v>
      </c>
      <c r="K74" s="2">
        <v>8.08</v>
      </c>
      <c r="L74" s="2">
        <f t="shared" si="8"/>
        <v>6.8250000000000002</v>
      </c>
      <c r="M74" s="2">
        <f t="shared" si="9"/>
        <v>2.7300000000000004</v>
      </c>
      <c r="N74" s="2">
        <f t="shared" si="10"/>
        <v>4.8479999999999999</v>
      </c>
      <c r="O74" s="2">
        <f t="shared" si="11"/>
        <v>7.5780000000000003</v>
      </c>
      <c r="P74" t="s">
        <v>26</v>
      </c>
      <c r="Q74" t="s">
        <v>27</v>
      </c>
    </row>
    <row r="75" spans="1:17" x14ac:dyDescent="0.25">
      <c r="A75" t="s">
        <v>20</v>
      </c>
      <c r="B75" t="s">
        <v>70</v>
      </c>
      <c r="C75" t="s">
        <v>34</v>
      </c>
      <c r="D75">
        <v>2024</v>
      </c>
      <c r="E75" t="s">
        <v>17</v>
      </c>
      <c r="F75" s="2">
        <v>7</v>
      </c>
      <c r="G75" s="2">
        <v>10</v>
      </c>
      <c r="H75" s="2">
        <f t="shared" si="6"/>
        <v>8.5</v>
      </c>
      <c r="I75" s="2">
        <v>5.5</v>
      </c>
      <c r="J75" s="2">
        <f t="shared" si="7"/>
        <v>5.5</v>
      </c>
      <c r="K75" s="2">
        <v>7.45</v>
      </c>
      <c r="L75" s="2">
        <f t="shared" si="8"/>
        <v>7</v>
      </c>
      <c r="M75" s="2">
        <f t="shared" si="9"/>
        <v>2.8000000000000003</v>
      </c>
      <c r="N75" s="2">
        <f t="shared" si="10"/>
        <v>4.47</v>
      </c>
      <c r="O75" s="2">
        <f t="shared" si="11"/>
        <v>7.27</v>
      </c>
      <c r="P75" t="s">
        <v>26</v>
      </c>
      <c r="Q75" t="s">
        <v>35</v>
      </c>
    </row>
    <row r="76" spans="1:17" x14ac:dyDescent="0.25">
      <c r="A76" t="s">
        <v>20</v>
      </c>
      <c r="B76" t="s">
        <v>70</v>
      </c>
      <c r="C76" t="s">
        <v>34</v>
      </c>
      <c r="D76">
        <v>2024</v>
      </c>
      <c r="E76" t="s">
        <v>17</v>
      </c>
      <c r="F76" s="2">
        <v>7</v>
      </c>
      <c r="G76" s="2">
        <v>10</v>
      </c>
      <c r="H76" s="2">
        <f t="shared" si="6"/>
        <v>8.5</v>
      </c>
      <c r="I76" s="2">
        <v>5.5</v>
      </c>
      <c r="J76" s="2">
        <f t="shared" si="7"/>
        <v>5.5</v>
      </c>
      <c r="K76" s="2">
        <v>7.45</v>
      </c>
      <c r="L76" s="2">
        <f t="shared" si="8"/>
        <v>7</v>
      </c>
      <c r="M76" s="2">
        <f t="shared" si="9"/>
        <v>2.8000000000000003</v>
      </c>
      <c r="N76" s="2">
        <f t="shared" si="10"/>
        <v>4.47</v>
      </c>
      <c r="O76" s="2">
        <f t="shared" si="11"/>
        <v>7.27</v>
      </c>
      <c r="P76" t="s">
        <v>26</v>
      </c>
      <c r="Q76" t="s">
        <v>35</v>
      </c>
    </row>
    <row r="77" spans="1:17" x14ac:dyDescent="0.25">
      <c r="A77" t="s">
        <v>20</v>
      </c>
      <c r="B77" s="1" t="s">
        <v>73</v>
      </c>
      <c r="C77" s="1" t="s">
        <v>53</v>
      </c>
      <c r="D77">
        <v>2024</v>
      </c>
      <c r="E77" t="s">
        <v>17</v>
      </c>
      <c r="F77" s="2">
        <v>10</v>
      </c>
      <c r="G77" s="2">
        <v>10</v>
      </c>
      <c r="H77" s="2">
        <f t="shared" si="6"/>
        <v>10</v>
      </c>
      <c r="I77" s="2">
        <v>7</v>
      </c>
      <c r="J77" s="2">
        <f t="shared" si="7"/>
        <v>7</v>
      </c>
      <c r="K77" s="2">
        <v>8.85</v>
      </c>
      <c r="L77" s="2">
        <f t="shared" si="8"/>
        <v>8.5</v>
      </c>
      <c r="M77" s="2">
        <f t="shared" si="9"/>
        <v>3.4000000000000004</v>
      </c>
      <c r="N77" s="2">
        <f t="shared" si="10"/>
        <v>5.31</v>
      </c>
      <c r="O77" s="2">
        <f t="shared" si="11"/>
        <v>8.7100000000000009</v>
      </c>
      <c r="P77" t="s">
        <v>23</v>
      </c>
      <c r="Q77" t="s">
        <v>42</v>
      </c>
    </row>
    <row r="78" spans="1:17" x14ac:dyDescent="0.25">
      <c r="A78" t="s">
        <v>20</v>
      </c>
      <c r="B78" t="s">
        <v>73</v>
      </c>
      <c r="C78" t="s">
        <v>41</v>
      </c>
      <c r="D78">
        <v>2024</v>
      </c>
      <c r="E78" t="s">
        <v>17</v>
      </c>
      <c r="F78" s="2">
        <v>10</v>
      </c>
      <c r="G78" s="2">
        <v>10</v>
      </c>
      <c r="H78" s="2">
        <f t="shared" si="6"/>
        <v>10</v>
      </c>
      <c r="I78" s="2">
        <v>7</v>
      </c>
      <c r="J78" s="2">
        <f t="shared" si="7"/>
        <v>7</v>
      </c>
      <c r="K78" s="2">
        <v>8.85</v>
      </c>
      <c r="L78" s="2">
        <f t="shared" si="8"/>
        <v>8.5</v>
      </c>
      <c r="M78" s="2">
        <f t="shared" si="9"/>
        <v>3.4000000000000004</v>
      </c>
      <c r="N78" s="2">
        <f t="shared" si="10"/>
        <v>5.31</v>
      </c>
      <c r="O78" s="2">
        <f t="shared" si="11"/>
        <v>8.7100000000000009</v>
      </c>
      <c r="P78" t="s">
        <v>23</v>
      </c>
      <c r="Q78" t="s">
        <v>42</v>
      </c>
    </row>
    <row r="79" spans="1:17" x14ac:dyDescent="0.25">
      <c r="A79" t="s">
        <v>20</v>
      </c>
      <c r="B79" t="s">
        <v>80</v>
      </c>
      <c r="C79" t="s">
        <v>63</v>
      </c>
      <c r="D79">
        <v>2025</v>
      </c>
      <c r="E79" t="s">
        <v>17</v>
      </c>
      <c r="F79" s="2">
        <v>8.8000000000000007</v>
      </c>
      <c r="G79" s="2">
        <v>10</v>
      </c>
      <c r="H79" s="2">
        <f t="shared" si="6"/>
        <v>9.4</v>
      </c>
      <c r="I79" s="2">
        <v>7</v>
      </c>
      <c r="J79" s="2">
        <f t="shared" si="7"/>
        <v>7</v>
      </c>
      <c r="K79" s="2">
        <v>7</v>
      </c>
      <c r="L79" s="2">
        <f t="shared" si="8"/>
        <v>8.1999999999999993</v>
      </c>
      <c r="M79" s="2">
        <f t="shared" si="9"/>
        <v>3.2799999999999994</v>
      </c>
      <c r="N79" s="2">
        <f t="shared" si="10"/>
        <v>4.2</v>
      </c>
      <c r="O79" s="2">
        <f t="shared" si="11"/>
        <v>7.4799999999999995</v>
      </c>
      <c r="P79" t="s">
        <v>26</v>
      </c>
      <c r="Q79" t="s">
        <v>27</v>
      </c>
    </row>
    <row r="80" spans="1:17" x14ac:dyDescent="0.25">
      <c r="A80" t="s">
        <v>20</v>
      </c>
      <c r="B80" s="1" t="s">
        <v>77</v>
      </c>
      <c r="C80" s="1" t="s">
        <v>57</v>
      </c>
      <c r="D80">
        <v>2024</v>
      </c>
      <c r="E80" t="s">
        <v>17</v>
      </c>
      <c r="F80" s="2">
        <v>10</v>
      </c>
      <c r="G80" s="2">
        <v>10</v>
      </c>
      <c r="H80" s="2">
        <f t="shared" si="6"/>
        <v>10</v>
      </c>
      <c r="I80" s="2">
        <v>10</v>
      </c>
      <c r="J80" s="2">
        <f t="shared" si="7"/>
        <v>10</v>
      </c>
      <c r="K80" s="2">
        <v>8.6199999999999992</v>
      </c>
      <c r="L80" s="2">
        <f t="shared" si="8"/>
        <v>10</v>
      </c>
      <c r="M80" s="2">
        <f t="shared" si="9"/>
        <v>4</v>
      </c>
      <c r="N80" s="2">
        <f t="shared" si="10"/>
        <v>5.1719999999999997</v>
      </c>
      <c r="O80" s="2">
        <f t="shared" si="11"/>
        <v>9.1720000000000006</v>
      </c>
      <c r="P80" t="s">
        <v>18</v>
      </c>
      <c r="Q80" t="s">
        <v>44</v>
      </c>
    </row>
    <row r="81" spans="1:17" x14ac:dyDescent="0.25">
      <c r="A81" t="s">
        <v>20</v>
      </c>
      <c r="B81" t="s">
        <v>76</v>
      </c>
      <c r="C81" t="s">
        <v>56</v>
      </c>
      <c r="D81">
        <v>2024</v>
      </c>
      <c r="E81" t="s">
        <v>17</v>
      </c>
      <c r="F81" s="2">
        <v>10</v>
      </c>
      <c r="G81" s="2">
        <v>10</v>
      </c>
      <c r="H81" s="2">
        <f t="shared" si="6"/>
        <v>10</v>
      </c>
      <c r="I81" s="2">
        <v>9.5</v>
      </c>
      <c r="J81" s="2">
        <f t="shared" si="7"/>
        <v>9.5</v>
      </c>
      <c r="K81" s="2">
        <v>9.25</v>
      </c>
      <c r="L81" s="2">
        <f t="shared" si="8"/>
        <v>9.75</v>
      </c>
      <c r="M81" s="2">
        <f t="shared" si="9"/>
        <v>3.9000000000000004</v>
      </c>
      <c r="N81" s="2">
        <f t="shared" si="10"/>
        <v>5.55</v>
      </c>
      <c r="O81" s="2">
        <f t="shared" si="11"/>
        <v>9.4499999999999993</v>
      </c>
      <c r="P81" t="s">
        <v>18</v>
      </c>
      <c r="Q81" t="s">
        <v>31</v>
      </c>
    </row>
    <row r="82" spans="1:17" x14ac:dyDescent="0.25">
      <c r="A82" t="s">
        <v>20</v>
      </c>
      <c r="B82" t="s">
        <v>78</v>
      </c>
      <c r="C82" t="s">
        <v>58</v>
      </c>
      <c r="D82">
        <v>2025</v>
      </c>
      <c r="E82" t="s">
        <v>22</v>
      </c>
      <c r="F82" s="2">
        <v>9.1</v>
      </c>
      <c r="G82" s="2">
        <v>10</v>
      </c>
      <c r="H82" s="2">
        <f t="shared" si="6"/>
        <v>9.5500000000000007</v>
      </c>
      <c r="I82" s="2">
        <v>9</v>
      </c>
      <c r="J82" s="2">
        <f t="shared" si="7"/>
        <v>9</v>
      </c>
      <c r="K82" s="2">
        <v>7.66</v>
      </c>
      <c r="L82" s="2">
        <f t="shared" si="8"/>
        <v>9.2750000000000004</v>
      </c>
      <c r="M82" s="2">
        <f t="shared" si="9"/>
        <v>3.71</v>
      </c>
      <c r="N82" s="2">
        <f t="shared" si="10"/>
        <v>4.5960000000000001</v>
      </c>
      <c r="O82" s="2">
        <f t="shared" si="11"/>
        <v>8.3060000000000009</v>
      </c>
      <c r="P82" t="s">
        <v>26</v>
      </c>
      <c r="Q82" t="s">
        <v>33</v>
      </c>
    </row>
    <row r="83" spans="1:17" x14ac:dyDescent="0.25">
      <c r="A83" t="s">
        <v>15</v>
      </c>
      <c r="B83" t="s">
        <v>79</v>
      </c>
      <c r="C83" t="s">
        <v>64</v>
      </c>
      <c r="D83">
        <v>2025</v>
      </c>
      <c r="E83" t="s">
        <v>17</v>
      </c>
      <c r="F83" s="2">
        <v>8.8000000000000007</v>
      </c>
      <c r="G83" s="2">
        <v>9.8000000000000007</v>
      </c>
      <c r="H83" s="2">
        <f t="shared" si="6"/>
        <v>9.3000000000000007</v>
      </c>
      <c r="I83" s="2">
        <v>8</v>
      </c>
      <c r="J83" s="2">
        <f t="shared" si="7"/>
        <v>8</v>
      </c>
      <c r="K83" s="2">
        <v>7.53</v>
      </c>
      <c r="L83" s="2">
        <f t="shared" si="8"/>
        <v>8.65</v>
      </c>
      <c r="M83" s="2">
        <f t="shared" si="9"/>
        <v>3.4600000000000004</v>
      </c>
      <c r="N83" s="2">
        <f t="shared" si="10"/>
        <v>4.5180000000000007</v>
      </c>
      <c r="O83" s="2">
        <f t="shared" si="11"/>
        <v>7.9780000000000015</v>
      </c>
      <c r="P83" t="s">
        <v>37</v>
      </c>
      <c r="Q83" t="s">
        <v>61</v>
      </c>
    </row>
    <row r="84" spans="1:17" x14ac:dyDescent="0.25">
      <c r="A84" t="s">
        <v>15</v>
      </c>
      <c r="B84" s="1" t="s">
        <v>68</v>
      </c>
      <c r="C84" s="1" t="s">
        <v>45</v>
      </c>
      <c r="D84">
        <v>2024</v>
      </c>
      <c r="E84" t="s">
        <v>22</v>
      </c>
      <c r="F84" s="2">
        <v>9</v>
      </c>
      <c r="G84" s="2">
        <v>9</v>
      </c>
      <c r="H84" s="2">
        <f t="shared" si="6"/>
        <v>9</v>
      </c>
      <c r="I84" s="2">
        <v>10</v>
      </c>
      <c r="J84" s="2">
        <f t="shared" si="7"/>
        <v>10</v>
      </c>
      <c r="K84" s="2">
        <v>7</v>
      </c>
      <c r="L84" s="2">
        <f t="shared" si="8"/>
        <v>9.5</v>
      </c>
      <c r="M84" s="2">
        <f t="shared" si="9"/>
        <v>3.8</v>
      </c>
      <c r="N84" s="2">
        <f t="shared" si="10"/>
        <v>4.2</v>
      </c>
      <c r="O84" s="2">
        <f t="shared" si="11"/>
        <v>8</v>
      </c>
      <c r="P84" t="s">
        <v>18</v>
      </c>
      <c r="Q84" t="s">
        <v>19</v>
      </c>
    </row>
    <row r="85" spans="1:17" x14ac:dyDescent="0.25">
      <c r="A85" t="s">
        <v>20</v>
      </c>
      <c r="B85" t="s">
        <v>72</v>
      </c>
      <c r="C85" t="s">
        <v>65</v>
      </c>
      <c r="D85">
        <v>2025</v>
      </c>
      <c r="E85" t="s">
        <v>17</v>
      </c>
      <c r="F85" s="2">
        <v>10</v>
      </c>
      <c r="G85" s="2">
        <v>10</v>
      </c>
      <c r="H85" s="2">
        <f t="shared" si="6"/>
        <v>10</v>
      </c>
      <c r="I85" s="2">
        <v>4</v>
      </c>
      <c r="J85" s="2">
        <f t="shared" si="7"/>
        <v>4</v>
      </c>
      <c r="K85" s="2">
        <v>7.75</v>
      </c>
      <c r="L85" s="2">
        <f t="shared" si="8"/>
        <v>7</v>
      </c>
      <c r="M85" s="2">
        <f t="shared" si="9"/>
        <v>2.8000000000000003</v>
      </c>
      <c r="N85" s="2">
        <f t="shared" si="10"/>
        <v>4.6500000000000004</v>
      </c>
      <c r="O85" s="2">
        <f t="shared" si="11"/>
        <v>7.4500000000000011</v>
      </c>
      <c r="P85" t="s">
        <v>37</v>
      </c>
      <c r="Q85" t="s">
        <v>40</v>
      </c>
    </row>
    <row r="86" spans="1:17" x14ac:dyDescent="0.25">
      <c r="A86" t="s">
        <v>20</v>
      </c>
      <c r="B86" t="s">
        <v>80</v>
      </c>
      <c r="C86" t="s">
        <v>63</v>
      </c>
      <c r="D86">
        <v>2024</v>
      </c>
      <c r="E86" t="s">
        <v>17</v>
      </c>
      <c r="F86" s="2">
        <v>10</v>
      </c>
      <c r="G86" s="2">
        <v>10</v>
      </c>
      <c r="H86" s="2">
        <f t="shared" si="6"/>
        <v>10</v>
      </c>
      <c r="I86" s="2">
        <v>7.5</v>
      </c>
      <c r="J86" s="2">
        <f t="shared" si="7"/>
        <v>7.5</v>
      </c>
      <c r="K86" s="2">
        <v>9.6999999999999993</v>
      </c>
      <c r="L86" s="2">
        <f t="shared" si="8"/>
        <v>8.75</v>
      </c>
      <c r="M86" s="2">
        <f t="shared" si="9"/>
        <v>3.5</v>
      </c>
      <c r="N86" s="2">
        <f t="shared" si="10"/>
        <v>5.8199999999999994</v>
      </c>
      <c r="O86" s="2">
        <f t="shared" si="11"/>
        <v>9.32</v>
      </c>
      <c r="P86" t="s">
        <v>26</v>
      </c>
      <c r="Q86" t="s">
        <v>27</v>
      </c>
    </row>
    <row r="87" spans="1:17" x14ac:dyDescent="0.25">
      <c r="A87" t="s">
        <v>15</v>
      </c>
      <c r="B87" t="s">
        <v>75</v>
      </c>
      <c r="C87" t="s">
        <v>51</v>
      </c>
      <c r="D87">
        <v>2025</v>
      </c>
      <c r="E87" t="s">
        <v>22</v>
      </c>
      <c r="F87" s="2">
        <v>9.1</v>
      </c>
      <c r="G87" s="2">
        <v>10</v>
      </c>
      <c r="H87" s="2">
        <f t="shared" si="6"/>
        <v>9.5500000000000007</v>
      </c>
      <c r="I87" s="2">
        <v>10</v>
      </c>
      <c r="J87" s="2">
        <f t="shared" si="7"/>
        <v>10</v>
      </c>
      <c r="K87" s="2">
        <v>8.44</v>
      </c>
      <c r="L87" s="2">
        <f t="shared" si="8"/>
        <v>9.7750000000000004</v>
      </c>
      <c r="M87" s="2">
        <f t="shared" si="9"/>
        <v>3.91</v>
      </c>
      <c r="N87" s="2">
        <f t="shared" si="10"/>
        <v>5.0639999999999992</v>
      </c>
      <c r="O87" s="2">
        <f t="shared" si="11"/>
        <v>8.9740000000000002</v>
      </c>
      <c r="P87" t="s">
        <v>26</v>
      </c>
      <c r="Q87" t="s">
        <v>29</v>
      </c>
    </row>
    <row r="88" spans="1:17" x14ac:dyDescent="0.25">
      <c r="A88" t="s">
        <v>15</v>
      </c>
      <c r="B88" t="s">
        <v>72</v>
      </c>
      <c r="C88" t="s">
        <v>39</v>
      </c>
      <c r="D88">
        <v>2025</v>
      </c>
      <c r="E88" t="s">
        <v>17</v>
      </c>
      <c r="F88" s="2">
        <v>9.1</v>
      </c>
      <c r="G88" s="2">
        <v>10</v>
      </c>
      <c r="H88" s="2">
        <f t="shared" si="6"/>
        <v>9.5500000000000007</v>
      </c>
      <c r="I88" s="2">
        <v>10</v>
      </c>
      <c r="J88" s="2">
        <f t="shared" si="7"/>
        <v>10</v>
      </c>
      <c r="K88" s="2">
        <v>9.26</v>
      </c>
      <c r="L88" s="2">
        <f t="shared" si="8"/>
        <v>9.7750000000000004</v>
      </c>
      <c r="M88" s="2">
        <f t="shared" si="9"/>
        <v>3.91</v>
      </c>
      <c r="N88" s="2">
        <f t="shared" si="10"/>
        <v>5.556</v>
      </c>
      <c r="O88" s="2">
        <f t="shared" si="11"/>
        <v>9.4660000000000011</v>
      </c>
      <c r="P88" t="s">
        <v>37</v>
      </c>
      <c r="Q88" t="s">
        <v>40</v>
      </c>
    </row>
    <row r="89" spans="1:17" x14ac:dyDescent="0.25">
      <c r="A89" t="s">
        <v>20</v>
      </c>
      <c r="B89" s="1" t="s">
        <v>74</v>
      </c>
      <c r="C89" s="1" t="s">
        <v>48</v>
      </c>
      <c r="D89">
        <v>2025</v>
      </c>
      <c r="E89" t="s">
        <v>17</v>
      </c>
      <c r="F89" s="2">
        <v>8.1999999999999993</v>
      </c>
      <c r="G89" s="2">
        <v>10</v>
      </c>
      <c r="H89" s="2">
        <f t="shared" si="6"/>
        <v>9.1</v>
      </c>
      <c r="I89" s="2">
        <v>6</v>
      </c>
      <c r="J89" s="2">
        <f t="shared" si="7"/>
        <v>6</v>
      </c>
      <c r="K89" s="2">
        <v>10</v>
      </c>
      <c r="L89" s="2">
        <f t="shared" si="8"/>
        <v>7.55</v>
      </c>
      <c r="M89" s="2">
        <f t="shared" si="9"/>
        <v>3.02</v>
      </c>
      <c r="N89" s="2">
        <f t="shared" si="10"/>
        <v>6</v>
      </c>
      <c r="O89" s="2">
        <f t="shared" si="11"/>
        <v>9.02</v>
      </c>
      <c r="P89" t="s">
        <v>18</v>
      </c>
      <c r="Q89" t="s">
        <v>47</v>
      </c>
    </row>
    <row r="90" spans="1:17" x14ac:dyDescent="0.25">
      <c r="A90" t="s">
        <v>15</v>
      </c>
      <c r="B90" t="s">
        <v>74</v>
      </c>
      <c r="C90" t="s">
        <v>48</v>
      </c>
      <c r="D90">
        <v>2024</v>
      </c>
      <c r="E90" t="s">
        <v>17</v>
      </c>
      <c r="F90" s="2">
        <v>10</v>
      </c>
      <c r="G90" s="2">
        <v>10</v>
      </c>
      <c r="H90" s="2">
        <f t="shared" si="6"/>
        <v>10</v>
      </c>
      <c r="I90" s="2">
        <v>10</v>
      </c>
      <c r="J90" s="2">
        <f t="shared" si="7"/>
        <v>10</v>
      </c>
      <c r="K90" s="2">
        <v>7.5</v>
      </c>
      <c r="L90" s="2">
        <f t="shared" si="8"/>
        <v>10</v>
      </c>
      <c r="M90" s="2">
        <f t="shared" si="9"/>
        <v>4</v>
      </c>
      <c r="N90" s="2">
        <f t="shared" si="10"/>
        <v>4.5</v>
      </c>
      <c r="O90" s="2">
        <f t="shared" si="11"/>
        <v>8.5</v>
      </c>
      <c r="P90" t="s">
        <v>18</v>
      </c>
      <c r="Q90" t="s">
        <v>47</v>
      </c>
    </row>
    <row r="91" spans="1:17" x14ac:dyDescent="0.25">
      <c r="A91" t="s">
        <v>15</v>
      </c>
      <c r="B91" t="s">
        <v>74</v>
      </c>
      <c r="C91" t="s">
        <v>48</v>
      </c>
      <c r="D91">
        <v>2025</v>
      </c>
      <c r="E91" t="s">
        <v>22</v>
      </c>
      <c r="F91" s="2">
        <v>7</v>
      </c>
      <c r="G91" s="2">
        <v>9</v>
      </c>
      <c r="H91" s="2">
        <f t="shared" si="6"/>
        <v>8</v>
      </c>
      <c r="I91" s="2">
        <v>8</v>
      </c>
      <c r="J91" s="2">
        <f t="shared" si="7"/>
        <v>8</v>
      </c>
      <c r="K91" s="2">
        <v>8.5</v>
      </c>
      <c r="L91" s="2">
        <f t="shared" si="8"/>
        <v>8</v>
      </c>
      <c r="M91" s="2">
        <f t="shared" si="9"/>
        <v>3.2</v>
      </c>
      <c r="N91" s="2">
        <f t="shared" si="10"/>
        <v>5.1000000000000005</v>
      </c>
      <c r="O91" s="2">
        <f t="shared" si="11"/>
        <v>8.3000000000000007</v>
      </c>
      <c r="P91" t="s">
        <v>18</v>
      </c>
      <c r="Q91" t="s">
        <v>47</v>
      </c>
    </row>
    <row r="92" spans="1:17" x14ac:dyDescent="0.25">
      <c r="A92" t="s">
        <v>20</v>
      </c>
      <c r="B92" t="s">
        <v>70</v>
      </c>
      <c r="C92" t="s">
        <v>62</v>
      </c>
      <c r="D92">
        <v>2025</v>
      </c>
      <c r="E92" t="s">
        <v>17</v>
      </c>
      <c r="F92" s="2">
        <v>8.8000000000000007</v>
      </c>
      <c r="G92" s="2">
        <v>10</v>
      </c>
      <c r="H92" s="2">
        <f t="shared" si="6"/>
        <v>9.4</v>
      </c>
      <c r="I92" s="2">
        <v>5</v>
      </c>
      <c r="J92" s="2">
        <f t="shared" si="7"/>
        <v>5</v>
      </c>
      <c r="K92" s="2">
        <v>8.4600000000000009</v>
      </c>
      <c r="L92" s="2">
        <f t="shared" si="8"/>
        <v>7.2</v>
      </c>
      <c r="M92" s="2">
        <f t="shared" si="9"/>
        <v>2.8800000000000003</v>
      </c>
      <c r="N92" s="2">
        <f t="shared" si="10"/>
        <v>5.0760000000000005</v>
      </c>
      <c r="O92" s="2">
        <f t="shared" si="11"/>
        <v>7.9560000000000013</v>
      </c>
      <c r="P92" t="s">
        <v>26</v>
      </c>
      <c r="Q92" t="s">
        <v>35</v>
      </c>
    </row>
    <row r="93" spans="1:17" x14ac:dyDescent="0.25">
      <c r="A93" t="s">
        <v>20</v>
      </c>
      <c r="B93" t="s">
        <v>79</v>
      </c>
      <c r="C93" t="s">
        <v>60</v>
      </c>
      <c r="D93">
        <v>2025</v>
      </c>
      <c r="E93" t="s">
        <v>17</v>
      </c>
      <c r="F93" s="2">
        <v>10</v>
      </c>
      <c r="G93" s="2">
        <v>10</v>
      </c>
      <c r="H93" s="2">
        <f t="shared" si="6"/>
        <v>10</v>
      </c>
      <c r="I93" s="2">
        <v>9.5</v>
      </c>
      <c r="J93" s="2">
        <f t="shared" si="7"/>
        <v>9.5</v>
      </c>
      <c r="K93" s="2">
        <v>10</v>
      </c>
      <c r="L93" s="2">
        <f t="shared" si="8"/>
        <v>9.75</v>
      </c>
      <c r="M93" s="2">
        <f t="shared" si="9"/>
        <v>3.9000000000000004</v>
      </c>
      <c r="N93" s="2">
        <f t="shared" si="10"/>
        <v>6</v>
      </c>
      <c r="O93" s="2">
        <f t="shared" si="11"/>
        <v>9.9</v>
      </c>
      <c r="P93" t="s">
        <v>37</v>
      </c>
      <c r="Q93" t="s">
        <v>61</v>
      </c>
    </row>
    <row r="94" spans="1:17" x14ac:dyDescent="0.25">
      <c r="A94" t="s">
        <v>20</v>
      </c>
      <c r="B94" s="1" t="s">
        <v>68</v>
      </c>
      <c r="C94" s="1" t="s">
        <v>45</v>
      </c>
      <c r="D94">
        <v>2024</v>
      </c>
      <c r="E94" t="s">
        <v>17</v>
      </c>
      <c r="F94" s="2">
        <v>10</v>
      </c>
      <c r="G94" s="2">
        <v>10</v>
      </c>
      <c r="H94" s="2">
        <f t="shared" si="6"/>
        <v>10</v>
      </c>
      <c r="I94" s="2">
        <v>9.5</v>
      </c>
      <c r="J94" s="2">
        <f t="shared" si="7"/>
        <v>9.5</v>
      </c>
      <c r="K94" s="2">
        <v>9.35</v>
      </c>
      <c r="L94" s="2">
        <f t="shared" si="8"/>
        <v>9.75</v>
      </c>
      <c r="M94" s="2">
        <f t="shared" si="9"/>
        <v>3.9000000000000004</v>
      </c>
      <c r="N94" s="2">
        <f t="shared" si="10"/>
        <v>5.61</v>
      </c>
      <c r="O94" s="2">
        <f t="shared" si="11"/>
        <v>9.5100000000000016</v>
      </c>
      <c r="P94" t="s">
        <v>18</v>
      </c>
      <c r="Q94" t="s">
        <v>19</v>
      </c>
    </row>
    <row r="95" spans="1:17" x14ac:dyDescent="0.25">
      <c r="A95" t="s">
        <v>15</v>
      </c>
      <c r="B95" t="s">
        <v>80</v>
      </c>
      <c r="C95" t="s">
        <v>25</v>
      </c>
      <c r="D95">
        <v>2025</v>
      </c>
      <c r="E95" t="s">
        <v>17</v>
      </c>
      <c r="F95" s="2">
        <v>4</v>
      </c>
      <c r="G95" s="2">
        <v>9</v>
      </c>
      <c r="H95" s="2">
        <f t="shared" si="6"/>
        <v>6.5</v>
      </c>
      <c r="I95" s="2">
        <v>4</v>
      </c>
      <c r="J95" s="2">
        <f t="shared" si="7"/>
        <v>4</v>
      </c>
      <c r="K95" s="2">
        <v>7.96</v>
      </c>
      <c r="L95" s="2">
        <f t="shared" si="8"/>
        <v>5.25</v>
      </c>
      <c r="M95" s="2">
        <f t="shared" si="9"/>
        <v>2.1</v>
      </c>
      <c r="N95" s="2">
        <f t="shared" si="10"/>
        <v>4.7759999999999998</v>
      </c>
      <c r="O95" s="2">
        <f t="shared" si="11"/>
        <v>6.8759999999999994</v>
      </c>
      <c r="P95" t="s">
        <v>26</v>
      </c>
      <c r="Q95" t="s">
        <v>27</v>
      </c>
    </row>
    <row r="96" spans="1:17" x14ac:dyDescent="0.25">
      <c r="A96" t="s">
        <v>20</v>
      </c>
      <c r="B96" t="s">
        <v>80</v>
      </c>
      <c r="C96" t="s">
        <v>63</v>
      </c>
      <c r="D96">
        <v>2024</v>
      </c>
      <c r="E96" t="s">
        <v>17</v>
      </c>
      <c r="F96" s="2">
        <v>10</v>
      </c>
      <c r="G96" s="2">
        <v>10</v>
      </c>
      <c r="H96" s="2">
        <f t="shared" si="6"/>
        <v>10</v>
      </c>
      <c r="I96" s="2">
        <v>9.5</v>
      </c>
      <c r="J96" s="2">
        <f t="shared" si="7"/>
        <v>9.5</v>
      </c>
      <c r="K96" s="2">
        <v>9.6999999999999993</v>
      </c>
      <c r="L96" s="2">
        <f t="shared" si="8"/>
        <v>9.75</v>
      </c>
      <c r="M96" s="2">
        <f t="shared" si="9"/>
        <v>3.9000000000000004</v>
      </c>
      <c r="N96" s="2">
        <f t="shared" si="10"/>
        <v>5.8199999999999994</v>
      </c>
      <c r="O96" s="2">
        <f t="shared" si="11"/>
        <v>9.7199999999999989</v>
      </c>
      <c r="P96" t="s">
        <v>26</v>
      </c>
      <c r="Q96" t="s">
        <v>27</v>
      </c>
    </row>
    <row r="97" spans="1:17" x14ac:dyDescent="0.25">
      <c r="A97" t="s">
        <v>20</v>
      </c>
      <c r="B97" t="s">
        <v>75</v>
      </c>
      <c r="C97" t="s">
        <v>51</v>
      </c>
      <c r="D97">
        <v>2025</v>
      </c>
      <c r="E97" t="s">
        <v>17</v>
      </c>
      <c r="F97" s="2">
        <v>10</v>
      </c>
      <c r="G97" s="2">
        <v>10</v>
      </c>
      <c r="H97" s="2">
        <f t="shared" si="6"/>
        <v>10</v>
      </c>
      <c r="I97" s="2">
        <v>7</v>
      </c>
      <c r="J97" s="2">
        <f t="shared" si="7"/>
        <v>7</v>
      </c>
      <c r="K97" s="2">
        <v>7</v>
      </c>
      <c r="L97" s="2">
        <f t="shared" si="8"/>
        <v>8.5</v>
      </c>
      <c r="M97" s="2">
        <f t="shared" si="9"/>
        <v>3.4000000000000004</v>
      </c>
      <c r="N97" s="2">
        <f t="shared" si="10"/>
        <v>4.2</v>
      </c>
      <c r="O97" s="2">
        <f t="shared" si="11"/>
        <v>7.6000000000000005</v>
      </c>
      <c r="P97" t="s">
        <v>26</v>
      </c>
      <c r="Q97" t="s">
        <v>29</v>
      </c>
    </row>
    <row r="98" spans="1:17" x14ac:dyDescent="0.25">
      <c r="A98" t="s">
        <v>20</v>
      </c>
      <c r="B98" t="s">
        <v>75</v>
      </c>
      <c r="C98" t="s">
        <v>51</v>
      </c>
      <c r="D98">
        <v>2025</v>
      </c>
      <c r="E98" t="s">
        <v>17</v>
      </c>
      <c r="F98" s="2">
        <v>7</v>
      </c>
      <c r="G98" s="2">
        <v>8</v>
      </c>
      <c r="H98" s="2">
        <f t="shared" si="6"/>
        <v>7.5</v>
      </c>
      <c r="I98" s="2">
        <v>8</v>
      </c>
      <c r="J98" s="2">
        <f t="shared" si="7"/>
        <v>8</v>
      </c>
      <c r="K98" s="2">
        <v>8</v>
      </c>
      <c r="L98" s="2">
        <f t="shared" si="8"/>
        <v>7.75</v>
      </c>
      <c r="M98" s="2">
        <f t="shared" si="9"/>
        <v>3.1</v>
      </c>
      <c r="N98" s="2">
        <f t="shared" si="10"/>
        <v>4.8</v>
      </c>
      <c r="O98" s="2">
        <f t="shared" si="11"/>
        <v>7.9</v>
      </c>
      <c r="P98" t="s">
        <v>26</v>
      </c>
      <c r="Q98" t="s">
        <v>29</v>
      </c>
    </row>
    <row r="99" spans="1:17" x14ac:dyDescent="0.25">
      <c r="A99" t="s">
        <v>20</v>
      </c>
      <c r="B99" s="1" t="s">
        <v>77</v>
      </c>
      <c r="C99" s="1" t="s">
        <v>57</v>
      </c>
      <c r="D99">
        <v>2025</v>
      </c>
      <c r="E99" t="s">
        <v>17</v>
      </c>
      <c r="F99" s="2">
        <v>0</v>
      </c>
      <c r="G99" s="2">
        <v>10</v>
      </c>
      <c r="H99" s="2">
        <f t="shared" si="6"/>
        <v>5</v>
      </c>
      <c r="I99" s="2">
        <v>4</v>
      </c>
      <c r="J99" s="2">
        <f t="shared" si="7"/>
        <v>4</v>
      </c>
      <c r="K99" s="2">
        <v>0</v>
      </c>
      <c r="L99" s="2">
        <f t="shared" si="8"/>
        <v>4.5</v>
      </c>
      <c r="M99" s="2">
        <f t="shared" si="9"/>
        <v>1.7999999999999998</v>
      </c>
      <c r="N99" s="2">
        <f t="shared" si="10"/>
        <v>0</v>
      </c>
      <c r="O99" s="2">
        <f t="shared" si="11"/>
        <v>1.7999999999999998</v>
      </c>
      <c r="P99" t="s">
        <v>18</v>
      </c>
      <c r="Q99" t="s">
        <v>44</v>
      </c>
    </row>
    <row r="100" spans="1:17" x14ac:dyDescent="0.25">
      <c r="A100" t="s">
        <v>15</v>
      </c>
      <c r="B100" t="s">
        <v>75</v>
      </c>
      <c r="C100" t="s">
        <v>51</v>
      </c>
      <c r="D100">
        <v>2025</v>
      </c>
      <c r="E100" t="s">
        <v>17</v>
      </c>
      <c r="F100" s="2">
        <v>9.1</v>
      </c>
      <c r="G100" s="2">
        <v>10</v>
      </c>
      <c r="H100" s="2">
        <f t="shared" si="6"/>
        <v>9.5500000000000007</v>
      </c>
      <c r="I100" s="2">
        <v>10</v>
      </c>
      <c r="J100" s="2">
        <f t="shared" si="7"/>
        <v>10</v>
      </c>
      <c r="K100" s="2">
        <v>8.66</v>
      </c>
      <c r="L100" s="2">
        <f t="shared" si="8"/>
        <v>9.7750000000000004</v>
      </c>
      <c r="M100" s="2">
        <f t="shared" si="9"/>
        <v>3.91</v>
      </c>
      <c r="N100" s="2">
        <f t="shared" si="10"/>
        <v>5.1959999999999997</v>
      </c>
      <c r="O100" s="2">
        <f t="shared" si="11"/>
        <v>9.1059999999999999</v>
      </c>
      <c r="P100" t="s">
        <v>26</v>
      </c>
      <c r="Q100" t="s">
        <v>29</v>
      </c>
    </row>
    <row r="101" spans="1:17" x14ac:dyDescent="0.25">
      <c r="A101" t="s">
        <v>15</v>
      </c>
      <c r="B101" t="s">
        <v>74</v>
      </c>
      <c r="C101" t="s">
        <v>46</v>
      </c>
      <c r="D101">
        <v>2024</v>
      </c>
      <c r="E101" t="s">
        <v>17</v>
      </c>
      <c r="F101" s="2">
        <v>10</v>
      </c>
      <c r="G101" s="2">
        <v>10</v>
      </c>
      <c r="H101" s="2">
        <f t="shared" si="6"/>
        <v>10</v>
      </c>
      <c r="I101" s="2">
        <v>8.8000000000000007</v>
      </c>
      <c r="J101" s="2">
        <f t="shared" si="7"/>
        <v>8.8000000000000007</v>
      </c>
      <c r="K101" s="2">
        <v>6.4</v>
      </c>
      <c r="L101" s="2">
        <f t="shared" si="8"/>
        <v>9.4</v>
      </c>
      <c r="M101" s="2">
        <f t="shared" si="9"/>
        <v>3.76</v>
      </c>
      <c r="N101" s="2">
        <f t="shared" si="10"/>
        <v>3.84</v>
      </c>
      <c r="O101" s="2">
        <f t="shared" si="11"/>
        <v>7.6</v>
      </c>
      <c r="P101" t="s">
        <v>18</v>
      </c>
      <c r="Q101" t="s">
        <v>47</v>
      </c>
    </row>
    <row r="102" spans="1:17" x14ac:dyDescent="0.25">
      <c r="A102" t="s">
        <v>20</v>
      </c>
      <c r="B102" t="s">
        <v>74</v>
      </c>
      <c r="C102" t="s">
        <v>46</v>
      </c>
      <c r="D102">
        <v>2025</v>
      </c>
      <c r="E102" t="s">
        <v>17</v>
      </c>
      <c r="F102" s="2">
        <v>8.8000000000000007</v>
      </c>
      <c r="G102" s="2">
        <v>10</v>
      </c>
      <c r="H102" s="2">
        <f t="shared" si="6"/>
        <v>9.4</v>
      </c>
      <c r="I102" s="2">
        <v>3</v>
      </c>
      <c r="J102" s="2">
        <f t="shared" si="7"/>
        <v>3</v>
      </c>
      <c r="K102" s="2">
        <v>7.6</v>
      </c>
      <c r="L102" s="2">
        <f t="shared" si="8"/>
        <v>6.2</v>
      </c>
      <c r="M102" s="2">
        <f t="shared" si="9"/>
        <v>2.48</v>
      </c>
      <c r="N102" s="2">
        <f t="shared" si="10"/>
        <v>4.5599999999999996</v>
      </c>
      <c r="O102" s="2">
        <f t="shared" si="11"/>
        <v>7.0399999999999991</v>
      </c>
      <c r="P102" t="s">
        <v>18</v>
      </c>
      <c r="Q102" t="s">
        <v>47</v>
      </c>
    </row>
    <row r="103" spans="1:17" x14ac:dyDescent="0.25">
      <c r="A103" t="s">
        <v>20</v>
      </c>
      <c r="B103" s="1" t="s">
        <v>77</v>
      </c>
      <c r="C103" s="1" t="s">
        <v>57</v>
      </c>
      <c r="D103">
        <v>2025</v>
      </c>
      <c r="E103" t="s">
        <v>22</v>
      </c>
      <c r="F103" s="2">
        <v>10</v>
      </c>
      <c r="G103" s="2">
        <v>10</v>
      </c>
      <c r="H103" s="2">
        <f t="shared" si="6"/>
        <v>10</v>
      </c>
      <c r="I103" s="2">
        <v>10</v>
      </c>
      <c r="J103" s="2">
        <f t="shared" si="7"/>
        <v>10</v>
      </c>
      <c r="K103" s="2">
        <v>9.25</v>
      </c>
      <c r="L103" s="2">
        <f t="shared" si="8"/>
        <v>10</v>
      </c>
      <c r="M103" s="2">
        <f t="shared" si="9"/>
        <v>4</v>
      </c>
      <c r="N103" s="2">
        <f t="shared" si="10"/>
        <v>5.55</v>
      </c>
      <c r="O103" s="2">
        <f t="shared" si="11"/>
        <v>9.5500000000000007</v>
      </c>
      <c r="P103" t="s">
        <v>18</v>
      </c>
      <c r="Q103" t="s">
        <v>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Valerio Silveira Neto</dc:creator>
  <cp:lastModifiedBy>Manoel Valerio Silveira Neto</cp:lastModifiedBy>
  <dcterms:created xsi:type="dcterms:W3CDTF">2026-02-16T12:20:21Z</dcterms:created>
  <dcterms:modified xsi:type="dcterms:W3CDTF">2026-02-16T15:31:38Z</dcterms:modified>
</cp:coreProperties>
</file>